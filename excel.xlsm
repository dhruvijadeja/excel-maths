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3.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0.xml" ContentType="application/vnd.openxmlformats-officedocument.spreadsheetml.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4.xml" ContentType="application/vnd.openxmlformats-officedocument.drawing+xml"/>
  <Override PartName="/xl/slicers/slicer1.xml" ContentType="application/vnd.ms-excel.slicer+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13.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ctrlProps/ctrlProp1.xml" ContentType="application/vnd.ms-excel.controlproperties+xml"/>
  <Override PartName="/xl/drawings/drawing7.xml" ContentType="application/vnd.openxmlformats-officedocument.drawing+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C:\Users\Lenovo\Documents\"/>
    </mc:Choice>
  </mc:AlternateContent>
  <bookViews>
    <workbookView xWindow="0" yWindow="0" windowWidth="15345" windowHeight="4650" firstSheet="14" activeTab="19"/>
  </bookViews>
  <sheets>
    <sheet name="Sheet1" sheetId="1" r:id="rId1"/>
    <sheet name="Sheet2" sheetId="2" r:id="rId2"/>
    <sheet name="vlookup" sheetId="3" r:id="rId3"/>
    <sheet name="index+match" sheetId="4" r:id="rId4"/>
    <sheet name="data validation" sheetId="5" r:id="rId5"/>
    <sheet name="Sheet4" sheetId="6" r:id="rId6"/>
    <sheet name="conditional formatting" sheetId="7" r:id="rId7"/>
    <sheet name="Sheet6" sheetId="10" r:id="rId8"/>
    <sheet name="pivort" sheetId="8" r:id="rId9"/>
    <sheet name="Sheet5" sheetId="12" r:id="rId10"/>
    <sheet name="Sheet8" sheetId="14" r:id="rId11"/>
    <sheet name="Sheet10" sheetId="16" r:id="rId12"/>
    <sheet name="Sheet7" sheetId="13" r:id="rId13"/>
    <sheet name="Sheet11" sheetId="18" r:id="rId14"/>
    <sheet name="Sheet3" sheetId="11" r:id="rId15"/>
    <sheet name="Sheet9" sheetId="17" r:id="rId16"/>
    <sheet name="macro" sheetId="19" r:id="rId17"/>
    <sheet name="Sheet12" sheetId="20" r:id="rId18"/>
    <sheet name="Sheet13" sheetId="21" r:id="rId19"/>
    <sheet name="Sheet14" sheetId="22" r:id="rId20"/>
  </sheets>
  <definedNames>
    <definedName name="Slicer_Geography">#N/A</definedName>
    <definedName name="Slicer_Product">#N/A</definedName>
  </definedNames>
  <calcPr calcId="152511"/>
  <pivotCaches>
    <pivotCache cacheId="0" r:id="rId21"/>
    <pivotCache cacheId="1" r:id="rId22"/>
    <pivotCache cacheId="2" r:id="rId23"/>
  </pivotCaches>
  <extLst>
    <ext xmlns:x14="http://schemas.microsoft.com/office/spreadsheetml/2009/9/main" uri="{BBE1A952-AA13-448e-AADC-164F8A28A991}">
      <x14:slicerCaches>
        <x14:slicerCache r:id="rId24"/>
        <x14:slicerCache r:id="rId25"/>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2" i="11" l="1"/>
  <c r="B11" i="6" l="1"/>
  <c r="B10" i="6"/>
  <c r="B9" i="6"/>
  <c r="C5" i="5" l="1"/>
  <c r="C4" i="5"/>
  <c r="A5" i="5"/>
  <c r="A4" i="5"/>
  <c r="L9" i="4" l="1"/>
  <c r="L8" i="4"/>
  <c r="I5" i="4"/>
  <c r="I4" i="4"/>
  <c r="I8" i="4"/>
  <c r="I3" i="4"/>
  <c r="H5" i="3" l="1"/>
  <c r="I5" i="3"/>
  <c r="H15" i="3"/>
  <c r="H16" i="3"/>
  <c r="A15" i="3"/>
  <c r="K3" i="3"/>
  <c r="L10" i="3"/>
  <c r="L9" i="3"/>
  <c r="L8" i="3"/>
  <c r="L7" i="3"/>
  <c r="J5" i="3"/>
  <c r="H4" i="3"/>
  <c r="H6" i="3"/>
  <c r="H7" i="3"/>
  <c r="H8" i="3"/>
  <c r="H9" i="3"/>
  <c r="H10" i="3"/>
  <c r="I29" i="2" l="1"/>
  <c r="I28" i="2"/>
  <c r="F28" i="2"/>
  <c r="H21" i="2"/>
  <c r="H20" i="2"/>
  <c r="H19" i="2"/>
  <c r="H22" i="2"/>
  <c r="I11" i="1"/>
  <c r="I10" i="1"/>
  <c r="I9" i="1"/>
  <c r="C14" i="2"/>
  <c r="C13" i="2"/>
  <c r="B22" i="1" l="1"/>
  <c r="B21" i="1"/>
  <c r="B11" i="1" l="1"/>
  <c r="B9" i="1"/>
  <c r="B10" i="1"/>
</calcChain>
</file>

<file path=xl/sharedStrings.xml><?xml version="1.0" encoding="utf-8"?>
<sst xmlns="http://schemas.openxmlformats.org/spreadsheetml/2006/main" count="840" uniqueCount="167">
  <si>
    <t>fruit</t>
  </si>
  <si>
    <t>quantity</t>
  </si>
  <si>
    <t>price</t>
  </si>
  <si>
    <t>apple</t>
  </si>
  <si>
    <t>banana</t>
  </si>
  <si>
    <t>orange</t>
  </si>
  <si>
    <t>papaya</t>
  </si>
  <si>
    <t>Average</t>
  </si>
  <si>
    <t>Averageif</t>
  </si>
  <si>
    <t>Sum</t>
  </si>
  <si>
    <t>Tom</t>
  </si>
  <si>
    <t>Arjun</t>
  </si>
  <si>
    <t>jane</t>
  </si>
  <si>
    <t>sum</t>
  </si>
  <si>
    <t>sumif</t>
  </si>
  <si>
    <t>sumifs</t>
  </si>
  <si>
    <t>Jane</t>
  </si>
  <si>
    <t>Add all values greater than 100 and less than 500(200+400)</t>
  </si>
  <si>
    <t>add all values for sales person whose name contains the "a" and whose name starts with "j"</t>
  </si>
  <si>
    <t>adds all values for names not equal to "Tom" and whose sales are more than 200</t>
  </si>
  <si>
    <t>ANS</t>
  </si>
  <si>
    <t>AVG</t>
  </si>
  <si>
    <t>tom</t>
  </si>
  <si>
    <t>Avg all the values for Tom</t>
  </si>
  <si>
    <t>avg all the values for names that have 'a' in it</t>
  </si>
  <si>
    <t>Avg values that are greater than 10</t>
  </si>
  <si>
    <t>Fruit</t>
  </si>
  <si>
    <t>Quantity</t>
  </si>
  <si>
    <t>Price</t>
  </si>
  <si>
    <t>Apple</t>
  </si>
  <si>
    <t>$20</t>
  </si>
  <si>
    <t>Banana</t>
  </si>
  <si>
    <t>Orange</t>
  </si>
  <si>
    <t>Papaya</t>
  </si>
  <si>
    <t>Averages when the quantity is greater than 10 and the fruit is not papaya</t>
  </si>
  <si>
    <t>averages price when price is greater than $15 and fruit name has "p" in it</t>
  </si>
  <si>
    <t>Name</t>
  </si>
  <si>
    <t>Subject</t>
  </si>
  <si>
    <t>Math</t>
  </si>
  <si>
    <t>Chemistry</t>
  </si>
  <si>
    <t>Biology</t>
  </si>
  <si>
    <t>Physics</t>
  </si>
  <si>
    <t>Matt</t>
  </si>
  <si>
    <t>Bob</t>
  </si>
  <si>
    <t>Brad</t>
  </si>
  <si>
    <t>Jenny</t>
  </si>
  <si>
    <t>Maria</t>
  </si>
  <si>
    <t>Jill</t>
  </si>
  <si>
    <t>Josh</t>
  </si>
  <si>
    <t>name</t>
  </si>
  <si>
    <t>jill</t>
  </si>
  <si>
    <t>Column1</t>
  </si>
  <si>
    <t>Column2</t>
  </si>
  <si>
    <t>Column3</t>
  </si>
  <si>
    <t>Column4</t>
  </si>
  <si>
    <t>physics</t>
  </si>
  <si>
    <t>brad</t>
  </si>
  <si>
    <t xml:space="preserve"> </t>
  </si>
  <si>
    <t>INDEX</t>
  </si>
  <si>
    <t>MATCH</t>
  </si>
  <si>
    <t>math</t>
  </si>
  <si>
    <t>matt</t>
  </si>
  <si>
    <t>AND</t>
  </si>
  <si>
    <t>Isblank</t>
  </si>
  <si>
    <t>Data Validation</t>
  </si>
  <si>
    <t>Whole Numbers</t>
  </si>
  <si>
    <t>Text Length</t>
  </si>
  <si>
    <t>Date</t>
  </si>
  <si>
    <t>Drop Down List</t>
  </si>
  <si>
    <t>Drop Down List2</t>
  </si>
  <si>
    <t>dhruvi</t>
  </si>
  <si>
    <t>dhruvi jad</t>
  </si>
  <si>
    <t>India</t>
  </si>
  <si>
    <t>Australia</t>
  </si>
  <si>
    <t>india</t>
  </si>
  <si>
    <t>usa</t>
  </si>
  <si>
    <t>china</t>
  </si>
  <si>
    <t>*warning</t>
  </si>
  <si>
    <t>*information</t>
  </si>
  <si>
    <t>circle invalid Data</t>
  </si>
  <si>
    <t>clear validation Circles</t>
  </si>
  <si>
    <t>*Whole Numbers</t>
  </si>
  <si>
    <t>*Text Length</t>
  </si>
  <si>
    <t>*Date</t>
  </si>
  <si>
    <t>*Drop Down List</t>
  </si>
  <si>
    <t>Input Messages</t>
  </si>
  <si>
    <t>Error Messages</t>
  </si>
  <si>
    <t>*stop</t>
  </si>
  <si>
    <t>If</t>
  </si>
  <si>
    <t>Age</t>
  </si>
  <si>
    <t>Address</t>
  </si>
  <si>
    <t>returns false if blank</t>
  </si>
  <si>
    <t>returns true if in validation</t>
  </si>
  <si>
    <t>returns false if name is empty</t>
  </si>
  <si>
    <t>fsdf</t>
  </si>
  <si>
    <t>Sales person</t>
  </si>
  <si>
    <t>Region</t>
  </si>
  <si>
    <t>Sales</t>
  </si>
  <si>
    <t>US</t>
  </si>
  <si>
    <t>Harry</t>
  </si>
  <si>
    <t>Canada</t>
  </si>
  <si>
    <t>Julie</t>
  </si>
  <si>
    <t>Stan</t>
  </si>
  <si>
    <t>Mark</t>
  </si>
  <si>
    <t>Joe</t>
  </si>
  <si>
    <t>Martha</t>
  </si>
  <si>
    <t>UAE</t>
  </si>
  <si>
    <t>russia</t>
  </si>
  <si>
    <t>Row Labels</t>
  </si>
  <si>
    <t>Grand Total</t>
  </si>
  <si>
    <t>Sum of Sales</t>
  </si>
  <si>
    <t>(Multiple Items)</t>
  </si>
  <si>
    <t>Geography</t>
  </si>
  <si>
    <t>Product</t>
  </si>
  <si>
    <t>Contracts</t>
  </si>
  <si>
    <t>Revenue</t>
  </si>
  <si>
    <t>Margin %</t>
  </si>
  <si>
    <t>Charlie</t>
  </si>
  <si>
    <t>East</t>
  </si>
  <si>
    <t>Product A</t>
  </si>
  <si>
    <t>Edward</t>
  </si>
  <si>
    <t>West</t>
  </si>
  <si>
    <t>Product B</t>
  </si>
  <si>
    <t>South</t>
  </si>
  <si>
    <t>Alice</t>
  </si>
  <si>
    <t>Product D</t>
  </si>
  <si>
    <t>Hannah</t>
  </si>
  <si>
    <t>Ian</t>
  </si>
  <si>
    <t>Product C</t>
  </si>
  <si>
    <t>North</t>
  </si>
  <si>
    <t>George</t>
  </si>
  <si>
    <t>Diana</t>
  </si>
  <si>
    <t>Judy</t>
  </si>
  <si>
    <t>Fiona</t>
  </si>
  <si>
    <t>Sum of Revenue</t>
  </si>
  <si>
    <t>Average of Margin %</t>
  </si>
  <si>
    <t>date</t>
  </si>
  <si>
    <t>Sum of Contracts</t>
  </si>
  <si>
    <t>5) which product has the highest average margin percentage?</t>
  </si>
  <si>
    <t>4) contribution of each product to the total revenue in each region</t>
  </si>
  <si>
    <t>3) How many contracts did each person close for each product</t>
  </si>
  <si>
    <t>2) How much total revenue  was generated by each product?</t>
  </si>
  <si>
    <t>6) How does the number of contracts compare to revenue in each geographic region</t>
  </si>
  <si>
    <t>Count of Contracts</t>
  </si>
  <si>
    <t>7) Who are the top 3 salespersons based on total revenue generated?</t>
  </si>
  <si>
    <t>8) What is the average revenue per contract for each product?</t>
  </si>
  <si>
    <t>Average of Revenue</t>
  </si>
  <si>
    <t>10) How are contracts distributed across different salespersons and regions?</t>
  </si>
  <si>
    <t>Month</t>
  </si>
  <si>
    <t>age</t>
  </si>
  <si>
    <t>jadeja</t>
  </si>
  <si>
    <t>jhala</t>
  </si>
  <si>
    <t>dhruvrajsinh</t>
  </si>
  <si>
    <t>yaju</t>
  </si>
  <si>
    <t>baldevsinh</t>
  </si>
  <si>
    <t>last name</t>
  </si>
  <si>
    <t>first name</t>
  </si>
  <si>
    <t>dhruvikumari</t>
  </si>
  <si>
    <t>adeshra</t>
  </si>
  <si>
    <t>femina</t>
  </si>
  <si>
    <t>jaideviba</t>
  </si>
  <si>
    <t>xyz</t>
  </si>
  <si>
    <t>abc</t>
  </si>
  <si>
    <t>Write a macro to display a simple message box saying "welcome to Vba"</t>
  </si>
  <si>
    <t>create a macro to select cell A1(any)  and type "hello World"</t>
  </si>
  <si>
    <t>Hello World</t>
  </si>
  <si>
    <t>Hello World        (macro2)</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</si>
</sst>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6" formatCode="&quot;$&quot;#,##0_);[Red]\(&quot;$&quot;#,##0\)"/>
    <numFmt numFmtId="164" formatCode="[$$-1009]#,##0.00"/>
  </numFmts>
  <fonts count="9" x14ac:knownFonts="1">
    <font>
      <sz val="11"/>
      <color theme="1"/>
      <name val="Calibri"/>
      <family val="2"/>
      <scheme val="minor"/>
    </font>
    <font>
      <sz val="10"/>
      <color theme="1"/>
      <name val="Calibri"/>
      <family val="2"/>
      <scheme val="minor"/>
    </font>
    <font>
      <b/>
      <sz val="11"/>
      <color theme="1"/>
      <name val="Calibri"/>
      <family val="2"/>
      <scheme val="minor"/>
    </font>
    <font>
      <sz val="10"/>
      <color theme="1"/>
      <name val="Calibri"/>
      <scheme val="minor"/>
    </font>
    <font>
      <b/>
      <sz val="14"/>
      <color theme="1"/>
      <name val="Calibri"/>
      <family val="2"/>
      <scheme val="minor"/>
    </font>
    <font>
      <sz val="10"/>
      <color rgb="FF000000"/>
      <name val="Calibri"/>
      <family val="2"/>
      <scheme val="minor"/>
    </font>
    <font>
      <b/>
      <sz val="11"/>
      <color rgb="FFFA7D00"/>
      <name val="Calibri"/>
      <scheme val="minor"/>
    </font>
    <font>
      <b/>
      <sz val="12"/>
      <color theme="1"/>
      <name val="Calibri"/>
      <family val="2"/>
      <scheme val="minor"/>
    </font>
    <font>
      <sz val="11"/>
      <color rgb="FF000000"/>
      <name val="Calibri"/>
      <family val="2"/>
    </font>
  </fonts>
  <fills count="3">
    <fill>
      <patternFill patternType="none"/>
    </fill>
    <fill>
      <patternFill patternType="gray125"/>
    </fill>
    <fill>
      <patternFill patternType="solid">
        <fgColor rgb="FFF2F2F2"/>
      </patternFill>
    </fill>
  </fills>
  <borders count="3">
    <border>
      <left/>
      <right/>
      <top/>
      <bottom/>
      <diagonal/>
    </border>
    <border>
      <left/>
      <right style="thin">
        <color indexed="64"/>
      </right>
      <top/>
      <bottom/>
      <diagonal/>
    </border>
    <border>
      <left style="thin">
        <color rgb="FF7F7F7F"/>
      </left>
      <right style="thin">
        <color rgb="FF7F7F7F"/>
      </right>
      <top style="thin">
        <color rgb="FF7F7F7F"/>
      </top>
      <bottom style="thin">
        <color rgb="FF7F7F7F"/>
      </bottom>
      <diagonal/>
    </border>
  </borders>
  <cellStyleXfs count="1">
    <xf numFmtId="0" fontId="0" fillId="0" borderId="0"/>
  </cellStyleXfs>
  <cellXfs count="25">
    <xf numFmtId="0" fontId="0" fillId="0" borderId="0" xfId="0"/>
    <xf numFmtId="6" fontId="0" fillId="0" borderId="0" xfId="0" applyNumberFormat="1"/>
    <xf numFmtId="0" fontId="0" fillId="0" borderId="0" xfId="0"/>
    <xf numFmtId="0" fontId="1" fillId="0" borderId="0" xfId="0" applyFont="1"/>
    <xf numFmtId="0" fontId="1" fillId="0" borderId="0" xfId="0" applyFont="1" applyAlignment="1">
      <alignment wrapText="1"/>
    </xf>
    <xf numFmtId="0" fontId="2" fillId="0" borderId="0" xfId="0" applyFont="1"/>
    <xf numFmtId="164" fontId="1" fillId="0" borderId="0" xfId="0" applyNumberFormat="1" applyFont="1"/>
    <xf numFmtId="0" fontId="1" fillId="0" borderId="0" xfId="0" applyFont="1" applyAlignment="1">
      <alignment horizontal="center"/>
    </xf>
    <xf numFmtId="0" fontId="0" fillId="0" borderId="0" xfId="0" applyNumberFormat="1"/>
    <xf numFmtId="0" fontId="3" fillId="0" borderId="0" xfId="0" applyFont="1"/>
    <xf numFmtId="0" fontId="4" fillId="0" borderId="0" xfId="0" applyFont="1"/>
    <xf numFmtId="14" fontId="0" fillId="0" borderId="0" xfId="0" applyNumberFormat="1"/>
    <xf numFmtId="0" fontId="0" fillId="0" borderId="1" xfId="0" applyBorder="1"/>
    <xf numFmtId="0" fontId="5" fillId="0" borderId="0" xfId="0" applyFont="1"/>
    <xf numFmtId="22" fontId="0" fillId="0" borderId="0" xfId="0" applyNumberFormat="1"/>
    <xf numFmtId="0" fontId="0" fillId="0" borderId="0" xfId="0" pivotButton="1"/>
    <xf numFmtId="0" fontId="0" fillId="0" borderId="0" xfId="0" applyAlignment="1">
      <alignment horizontal="left"/>
    </xf>
    <xf numFmtId="0" fontId="2" fillId="0" borderId="0" xfId="0" applyFont="1" applyAlignment="1">
      <alignment horizontal="left"/>
    </xf>
    <xf numFmtId="9" fontId="0" fillId="0" borderId="0" xfId="0" applyNumberFormat="1"/>
    <xf numFmtId="2" fontId="0" fillId="0" borderId="0" xfId="0" applyNumberFormat="1"/>
    <xf numFmtId="17" fontId="0" fillId="0" borderId="0" xfId="0" applyNumberFormat="1"/>
    <xf numFmtId="3" fontId="0" fillId="0" borderId="0" xfId="0" applyNumberFormat="1"/>
    <xf numFmtId="17" fontId="0" fillId="0" borderId="0" xfId="0" applyNumberFormat="1" applyAlignment="1">
      <alignment horizontal="left"/>
    </xf>
    <xf numFmtId="9" fontId="6" fillId="2" borderId="2" xfId="0" applyNumberFormat="1" applyFont="1" applyFill="1" applyBorder="1"/>
    <xf numFmtId="0" fontId="7" fillId="0" borderId="0" xfId="0" applyFont="1"/>
  </cellXfs>
  <cellStyles count="1">
    <cellStyle name="Normal" xfId="0" builtinId="0"/>
  </cellStyles>
  <dxfs count="40">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color rgb="FF9C0006"/>
      </font>
      <fill>
        <patternFill>
          <fgColor indexed="64"/>
          <bgColor rgb="FFFFC7CE"/>
        </patternFill>
      </fill>
    </dxf>
    <dxf>
      <font>
        <color rgb="FF9C0006"/>
      </font>
      <fill>
        <patternFill>
          <fgColor indexed="64"/>
          <bgColor rgb="FFFFC7CE"/>
        </patternFill>
      </fill>
    </dxf>
    <dxf>
      <font>
        <color rgb="FF9C0006"/>
      </font>
      <fill>
        <patternFill>
          <bgColor rgb="FFFFC7CE"/>
        </patternFill>
      </fill>
    </dxf>
    <dxf>
      <font>
        <b/>
        <i val="0"/>
        <strike val="0"/>
        <condense val="0"/>
        <extend val="0"/>
        <outline val="0"/>
        <shadow val="0"/>
        <u val="none"/>
        <vertAlign val="baseline"/>
        <sz val="11"/>
        <color rgb="FFFA7D00"/>
        <name val="Calibri"/>
        <scheme val="minor"/>
      </font>
      <fill>
        <patternFill patternType="solid">
          <fgColor indexed="65"/>
          <bgColor rgb="FFF2F2F2"/>
        </patternFill>
      </fill>
      <border diagonalUp="0" diagonalDown="0" outline="0">
        <left style="thin">
          <color rgb="FF7F7F7F"/>
        </left>
        <right style="thin">
          <color rgb="FF7F7F7F"/>
        </right>
        <top style="thin">
          <color rgb="FF7F7F7F"/>
        </top>
        <bottom style="thin">
          <color rgb="FF7F7F7F"/>
        </bottom>
      </border>
    </dxf>
    <dxf>
      <numFmt numFmtId="19" formatCode="m/d/yyyy"/>
    </dxf>
    <dxf>
      <numFmt numFmtId="27" formatCode="m/d/yyyy\ h:mm"/>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alignment horizontal="center" vertical="bottom" textRotation="0" wrapText="0" indent="0" justifyLastLine="0" shrinkToFit="0" readingOrder="0"/>
    </dxf>
    <dxf>
      <numFmt numFmtId="0" formatCode="General"/>
    </dxf>
    <dxf>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2.xml"/><Relationship Id="rId27" Type="http://schemas.openxmlformats.org/officeDocument/2006/relationships/styles" Target="styles.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[average.xlsm]pivort!PivotTable1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pivort!$G$3</c:f>
              <c:strCache>
                <c:ptCount val="1"/>
                <c:pt idx="0">
                  <c:v>Total</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cat>
            <c:strRef>
              <c:f>pivort!$F$4:$F$10</c:f>
              <c:strCache>
                <c:ptCount val="6"/>
                <c:pt idx="0">
                  <c:v>Bob</c:v>
                </c:pt>
                <c:pt idx="1">
                  <c:v>Harry</c:v>
                </c:pt>
                <c:pt idx="2">
                  <c:v>Joe</c:v>
                </c:pt>
                <c:pt idx="3">
                  <c:v>Julie</c:v>
                </c:pt>
                <c:pt idx="4">
                  <c:v>Martha</c:v>
                </c:pt>
                <c:pt idx="5">
                  <c:v>Stan</c:v>
                </c:pt>
              </c:strCache>
            </c:strRef>
          </c:cat>
          <c:val>
            <c:numRef>
              <c:f>pivort!$G$4:$G$10</c:f>
              <c:numCache>
                <c:formatCode>General</c:formatCode>
                <c:ptCount val="6"/>
                <c:pt idx="0">
                  <c:v>548</c:v>
                </c:pt>
                <c:pt idx="1">
                  <c:v>534</c:v>
                </c:pt>
                <c:pt idx="2">
                  <c:v>782</c:v>
                </c:pt>
                <c:pt idx="3">
                  <c:v>1292</c:v>
                </c:pt>
                <c:pt idx="4">
                  <c:v>529</c:v>
                </c:pt>
                <c:pt idx="5">
                  <c:v>538</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[average.xlsm]Sheet5!PivotTable2</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manualLayout>
          <c:layoutTarget val="inner"/>
          <c:xMode val="edge"/>
          <c:yMode val="edge"/>
          <c:x val="0.12835870516185477"/>
          <c:y val="0.1831437736949548"/>
          <c:w val="0.66261351706036742"/>
          <c:h val="0.65853091280256637"/>
        </c:manualLayout>
      </c:layout>
      <c:barChart>
        <c:barDir val="col"/>
        <c:grouping val="clustered"/>
        <c:varyColors val="0"/>
        <c:ser>
          <c:idx val="0"/>
          <c:order val="0"/>
          <c:tx>
            <c:strRef>
              <c:f>Sheet5!$C$3:$C$4</c:f>
              <c:strCache>
                <c:ptCount val="1"/>
                <c:pt idx="0">
                  <c:v>East</c:v>
                </c:pt>
              </c:strCache>
            </c:strRef>
          </c:tx>
          <c:spPr>
            <a:solidFill>
              <a:schemeClr val="accent1"/>
            </a:solidFill>
            <a:ln>
              <a:noFill/>
            </a:ln>
            <a:effectLst/>
          </c:spPr>
          <c:invertIfNegative val="0"/>
          <c:cat>
            <c:strRef>
              <c:f>Sheet5!$A$5:$B$9</c:f>
              <c:strCache>
                <c:ptCount val="4"/>
                <c:pt idx="0">
                  <c:v>Product A</c:v>
                </c:pt>
                <c:pt idx="1">
                  <c:v>Product B</c:v>
                </c:pt>
                <c:pt idx="2">
                  <c:v>Product C</c:v>
                </c:pt>
                <c:pt idx="3">
                  <c:v>Product D</c:v>
                </c:pt>
              </c:strCache>
            </c:strRef>
          </c:cat>
          <c:val>
            <c:numRef>
              <c:f>Sheet5!$C$5:$C$9</c:f>
              <c:numCache>
                <c:formatCode>General</c:formatCode>
                <c:ptCount val="4"/>
                <c:pt idx="0">
                  <c:v>165703.50999999998</c:v>
                </c:pt>
                <c:pt idx="1">
                  <c:v>269252.57</c:v>
                </c:pt>
                <c:pt idx="2">
                  <c:v>124995.23999999999</c:v>
                </c:pt>
                <c:pt idx="3">
                  <c:v>135638.87</c:v>
                </c:pt>
              </c:numCache>
            </c:numRef>
          </c:val>
        </c:ser>
        <c:ser>
          <c:idx val="1"/>
          <c:order val="1"/>
          <c:tx>
            <c:strRef>
              <c:f>Sheet5!$D$3:$D$4</c:f>
              <c:strCache>
                <c:ptCount val="1"/>
                <c:pt idx="0">
                  <c:v>North</c:v>
                </c:pt>
              </c:strCache>
            </c:strRef>
          </c:tx>
          <c:spPr>
            <a:solidFill>
              <a:schemeClr val="accent2"/>
            </a:solidFill>
            <a:ln>
              <a:noFill/>
            </a:ln>
            <a:effectLst/>
          </c:spPr>
          <c:invertIfNegative val="0"/>
          <c:cat>
            <c:strRef>
              <c:f>Sheet5!$A$5:$B$9</c:f>
              <c:strCache>
                <c:ptCount val="4"/>
                <c:pt idx="0">
                  <c:v>Product A</c:v>
                </c:pt>
                <c:pt idx="1">
                  <c:v>Product B</c:v>
                </c:pt>
                <c:pt idx="2">
                  <c:v>Product C</c:v>
                </c:pt>
                <c:pt idx="3">
                  <c:v>Product D</c:v>
                </c:pt>
              </c:strCache>
            </c:strRef>
          </c:cat>
          <c:val>
            <c:numRef>
              <c:f>Sheet5!$D$5:$D$9</c:f>
              <c:numCache>
                <c:formatCode>General</c:formatCode>
                <c:ptCount val="4"/>
                <c:pt idx="0">
                  <c:v>139421.06</c:v>
                </c:pt>
                <c:pt idx="1">
                  <c:v>216764.13999999998</c:v>
                </c:pt>
                <c:pt idx="2">
                  <c:v>127129.07999999999</c:v>
                </c:pt>
                <c:pt idx="3">
                  <c:v>80565.209999999992</c:v>
                </c:pt>
              </c:numCache>
            </c:numRef>
          </c:val>
        </c:ser>
        <c:ser>
          <c:idx val="2"/>
          <c:order val="2"/>
          <c:tx>
            <c:strRef>
              <c:f>Sheet5!$E$3:$E$4</c:f>
              <c:strCache>
                <c:ptCount val="1"/>
                <c:pt idx="0">
                  <c:v>South</c:v>
                </c:pt>
              </c:strCache>
            </c:strRef>
          </c:tx>
          <c:spPr>
            <a:solidFill>
              <a:schemeClr val="accent3"/>
            </a:solidFill>
            <a:ln>
              <a:noFill/>
            </a:ln>
            <a:effectLst/>
          </c:spPr>
          <c:invertIfNegative val="0"/>
          <c:cat>
            <c:strRef>
              <c:f>Sheet5!$A$5:$B$9</c:f>
              <c:strCache>
                <c:ptCount val="4"/>
                <c:pt idx="0">
                  <c:v>Product A</c:v>
                </c:pt>
                <c:pt idx="1">
                  <c:v>Product B</c:v>
                </c:pt>
                <c:pt idx="2">
                  <c:v>Product C</c:v>
                </c:pt>
                <c:pt idx="3">
                  <c:v>Product D</c:v>
                </c:pt>
              </c:strCache>
            </c:strRef>
          </c:cat>
          <c:val>
            <c:numRef>
              <c:f>Sheet5!$E$5:$E$9</c:f>
              <c:numCache>
                <c:formatCode>General</c:formatCode>
                <c:ptCount val="4"/>
                <c:pt idx="0">
                  <c:v>131696.25</c:v>
                </c:pt>
                <c:pt idx="1">
                  <c:v>207479.18</c:v>
                </c:pt>
                <c:pt idx="2">
                  <c:v>140165.53</c:v>
                </c:pt>
                <c:pt idx="3">
                  <c:v>147218.32999999999</c:v>
                </c:pt>
              </c:numCache>
            </c:numRef>
          </c:val>
        </c:ser>
        <c:ser>
          <c:idx val="3"/>
          <c:order val="3"/>
          <c:tx>
            <c:strRef>
              <c:f>Sheet5!$F$3:$F$4</c:f>
              <c:strCache>
                <c:ptCount val="1"/>
                <c:pt idx="0">
                  <c:v>West</c:v>
                </c:pt>
              </c:strCache>
            </c:strRef>
          </c:tx>
          <c:spPr>
            <a:solidFill>
              <a:schemeClr val="accent4"/>
            </a:solidFill>
            <a:ln>
              <a:noFill/>
            </a:ln>
            <a:effectLst/>
          </c:spPr>
          <c:invertIfNegative val="0"/>
          <c:cat>
            <c:strRef>
              <c:f>Sheet5!$A$5:$B$9</c:f>
              <c:strCache>
                <c:ptCount val="4"/>
                <c:pt idx="0">
                  <c:v>Product A</c:v>
                </c:pt>
                <c:pt idx="1">
                  <c:v>Product B</c:v>
                </c:pt>
                <c:pt idx="2">
                  <c:v>Product C</c:v>
                </c:pt>
                <c:pt idx="3">
                  <c:v>Product D</c:v>
                </c:pt>
              </c:strCache>
            </c:strRef>
          </c:cat>
          <c:val>
            <c:numRef>
              <c:f>Sheet5!$F$5:$F$9</c:f>
              <c:numCache>
                <c:formatCode>General</c:formatCode>
                <c:ptCount val="4"/>
                <c:pt idx="0">
                  <c:v>82357.900000000009</c:v>
                </c:pt>
                <c:pt idx="1">
                  <c:v>140334.66</c:v>
                </c:pt>
                <c:pt idx="2">
                  <c:v>160220.89000000001</c:v>
                </c:pt>
                <c:pt idx="3">
                  <c:v>226618.3</c:v>
                </c:pt>
              </c:numCache>
            </c:numRef>
          </c:val>
        </c:ser>
        <c:dLbls>
          <c:showLegendKey val="0"/>
          <c:showVal val="0"/>
          <c:showCatName val="0"/>
          <c:showSerName val="0"/>
          <c:showPercent val="0"/>
          <c:showBubbleSize val="0"/>
        </c:dLbls>
        <c:gapWidth val="219"/>
        <c:overlap val="-27"/>
        <c:axId val="161737648"/>
        <c:axId val="161735968"/>
      </c:barChart>
      <c:catAx>
        <c:axId val="1617376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735968"/>
        <c:crosses val="autoZero"/>
        <c:auto val="1"/>
        <c:lblAlgn val="ctr"/>
        <c:lblOffset val="100"/>
        <c:noMultiLvlLbl val="0"/>
      </c:catAx>
      <c:valAx>
        <c:axId val="161735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17376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[average.xlsm]Sheet7!PivotTable3</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s>
    <c:plotArea>
      <c:layout>
        <c:manualLayout>
          <c:layoutTarget val="inner"/>
          <c:xMode val="edge"/>
          <c:yMode val="edge"/>
          <c:x val="9.4358705161854767E-2"/>
          <c:y val="0.12397929425488481"/>
          <c:w val="0.73683092738407696"/>
          <c:h val="0.65853091280256637"/>
        </c:manualLayout>
      </c:layout>
      <c:barChart>
        <c:barDir val="col"/>
        <c:grouping val="clustered"/>
        <c:varyColors val="0"/>
        <c:ser>
          <c:idx val="0"/>
          <c:order val="0"/>
          <c:tx>
            <c:strRef>
              <c:f>Sheet7!$B$3:$B$4</c:f>
              <c:strCache>
                <c:ptCount val="1"/>
                <c:pt idx="0">
                  <c:v>Product A</c:v>
                </c:pt>
              </c:strCache>
            </c:strRef>
          </c:tx>
          <c:spPr>
            <a:solidFill>
              <a:schemeClr val="accent1"/>
            </a:solidFill>
            <a:ln>
              <a:noFill/>
            </a:ln>
            <a:effectLst/>
          </c:spPr>
          <c:invertIfNegative val="0"/>
          <c:cat>
            <c:strRef>
              <c:f>Sheet7!$A$5:$A$9</c:f>
              <c:strCache>
                <c:ptCount val="4"/>
                <c:pt idx="0">
                  <c:v>East</c:v>
                </c:pt>
                <c:pt idx="1">
                  <c:v>North</c:v>
                </c:pt>
                <c:pt idx="2">
                  <c:v>South</c:v>
                </c:pt>
                <c:pt idx="3">
                  <c:v>West</c:v>
                </c:pt>
              </c:strCache>
            </c:strRef>
          </c:cat>
          <c:val>
            <c:numRef>
              <c:f>Sheet7!$B$5:$B$9</c:f>
              <c:numCache>
                <c:formatCode>General</c:formatCode>
                <c:ptCount val="4"/>
                <c:pt idx="0">
                  <c:v>17.176666666666666</c:v>
                </c:pt>
                <c:pt idx="1">
                  <c:v>33.724999999999994</c:v>
                </c:pt>
                <c:pt idx="2">
                  <c:v>31.805000000000003</c:v>
                </c:pt>
                <c:pt idx="3">
                  <c:v>37.569999999999993</c:v>
                </c:pt>
              </c:numCache>
            </c:numRef>
          </c:val>
        </c:ser>
        <c:ser>
          <c:idx val="1"/>
          <c:order val="1"/>
          <c:tx>
            <c:strRef>
              <c:f>Sheet7!$C$3:$C$4</c:f>
              <c:strCache>
                <c:ptCount val="1"/>
                <c:pt idx="0">
                  <c:v>Product B</c:v>
                </c:pt>
              </c:strCache>
            </c:strRef>
          </c:tx>
          <c:spPr>
            <a:solidFill>
              <a:schemeClr val="accent2"/>
            </a:solidFill>
            <a:ln>
              <a:noFill/>
            </a:ln>
            <a:effectLst/>
          </c:spPr>
          <c:invertIfNegative val="0"/>
          <c:cat>
            <c:strRef>
              <c:f>Sheet7!$A$5:$A$9</c:f>
              <c:strCache>
                <c:ptCount val="4"/>
                <c:pt idx="0">
                  <c:v>East</c:v>
                </c:pt>
                <c:pt idx="1">
                  <c:v>North</c:v>
                </c:pt>
                <c:pt idx="2">
                  <c:v>South</c:v>
                </c:pt>
                <c:pt idx="3">
                  <c:v>West</c:v>
                </c:pt>
              </c:strCache>
            </c:strRef>
          </c:cat>
          <c:val>
            <c:numRef>
              <c:f>Sheet7!$C$5:$C$9</c:f>
              <c:numCache>
                <c:formatCode>General</c:formatCode>
                <c:ptCount val="4"/>
                <c:pt idx="0">
                  <c:v>26.565714285714286</c:v>
                </c:pt>
                <c:pt idx="1">
                  <c:v>36.14</c:v>
                </c:pt>
                <c:pt idx="2">
                  <c:v>26.302500000000002</c:v>
                </c:pt>
                <c:pt idx="3">
                  <c:v>35.495000000000005</c:v>
                </c:pt>
              </c:numCache>
            </c:numRef>
          </c:val>
        </c:ser>
        <c:ser>
          <c:idx val="2"/>
          <c:order val="2"/>
          <c:tx>
            <c:strRef>
              <c:f>Sheet7!$D$3:$D$4</c:f>
              <c:strCache>
                <c:ptCount val="1"/>
                <c:pt idx="0">
                  <c:v>Product C</c:v>
                </c:pt>
              </c:strCache>
            </c:strRef>
          </c:tx>
          <c:spPr>
            <a:solidFill>
              <a:schemeClr val="accent3"/>
            </a:solidFill>
            <a:ln>
              <a:noFill/>
            </a:ln>
            <a:effectLst/>
          </c:spPr>
          <c:invertIfNegative val="0"/>
          <c:cat>
            <c:strRef>
              <c:f>Sheet7!$A$5:$A$9</c:f>
              <c:strCache>
                <c:ptCount val="4"/>
                <c:pt idx="0">
                  <c:v>East</c:v>
                </c:pt>
                <c:pt idx="1">
                  <c:v>North</c:v>
                </c:pt>
                <c:pt idx="2">
                  <c:v>South</c:v>
                </c:pt>
                <c:pt idx="3">
                  <c:v>West</c:v>
                </c:pt>
              </c:strCache>
            </c:strRef>
          </c:cat>
          <c:val>
            <c:numRef>
              <c:f>Sheet7!$D$5:$D$9</c:f>
              <c:numCache>
                <c:formatCode>General</c:formatCode>
                <c:ptCount val="4"/>
                <c:pt idx="0">
                  <c:v>18.802499999999998</c:v>
                </c:pt>
                <c:pt idx="1">
                  <c:v>33.661999999999999</c:v>
                </c:pt>
                <c:pt idx="2">
                  <c:v>18.239999999999998</c:v>
                </c:pt>
                <c:pt idx="3">
                  <c:v>31.067999999999994</c:v>
                </c:pt>
              </c:numCache>
            </c:numRef>
          </c:val>
        </c:ser>
        <c:ser>
          <c:idx val="3"/>
          <c:order val="3"/>
          <c:tx>
            <c:strRef>
              <c:f>Sheet7!$E$3:$E$4</c:f>
              <c:strCache>
                <c:ptCount val="1"/>
                <c:pt idx="0">
                  <c:v>Product D</c:v>
                </c:pt>
              </c:strCache>
            </c:strRef>
          </c:tx>
          <c:spPr>
            <a:solidFill>
              <a:schemeClr val="accent4"/>
            </a:solidFill>
            <a:ln>
              <a:noFill/>
            </a:ln>
            <a:effectLst/>
          </c:spPr>
          <c:invertIfNegative val="0"/>
          <c:cat>
            <c:strRef>
              <c:f>Sheet7!$A$5:$A$9</c:f>
              <c:strCache>
                <c:ptCount val="4"/>
                <c:pt idx="0">
                  <c:v>East</c:v>
                </c:pt>
                <c:pt idx="1">
                  <c:v>North</c:v>
                </c:pt>
                <c:pt idx="2">
                  <c:v>South</c:v>
                </c:pt>
                <c:pt idx="3">
                  <c:v>West</c:v>
                </c:pt>
              </c:strCache>
            </c:strRef>
          </c:cat>
          <c:val>
            <c:numRef>
              <c:f>Sheet7!$E$5:$E$9</c:f>
              <c:numCache>
                <c:formatCode>General</c:formatCode>
                <c:ptCount val="4"/>
                <c:pt idx="0">
                  <c:v>25.77333333333333</c:v>
                </c:pt>
                <c:pt idx="1">
                  <c:v>27.82</c:v>
                </c:pt>
                <c:pt idx="2">
                  <c:v>31.49</c:v>
                </c:pt>
                <c:pt idx="3">
                  <c:v>18.837142857142858</c:v>
                </c:pt>
              </c:numCache>
            </c:numRef>
          </c:val>
        </c:ser>
        <c:dLbls>
          <c:showLegendKey val="0"/>
          <c:showVal val="0"/>
          <c:showCatName val="0"/>
          <c:showSerName val="0"/>
          <c:showPercent val="0"/>
          <c:showBubbleSize val="0"/>
        </c:dLbls>
        <c:gapWidth val="219"/>
        <c:overlap val="-27"/>
        <c:axId val="634323744"/>
        <c:axId val="634324304"/>
      </c:barChart>
      <c:catAx>
        <c:axId val="6343237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324304"/>
        <c:crosses val="autoZero"/>
        <c:auto val="1"/>
        <c:lblAlgn val="ctr"/>
        <c:lblOffset val="100"/>
        <c:noMultiLvlLbl val="0"/>
      </c:catAx>
      <c:valAx>
        <c:axId val="6343243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3237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[average.xlsm]Sheet7!PivotTable5</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pieChart>
        <c:varyColors val="1"/>
        <c:ser>
          <c:idx val="0"/>
          <c:order val="0"/>
          <c:tx>
            <c:strRef>
              <c:f>Sheet7!$B$36:$B$37</c:f>
              <c:strCache>
                <c:ptCount val="1"/>
                <c:pt idx="0">
                  <c:v>East</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Sheet7!$B$38:$B$42</c:f>
              <c:numCache>
                <c:formatCode>General</c:formatCode>
                <c:ptCount val="4"/>
                <c:pt idx="0">
                  <c:v>165703.50999999998</c:v>
                </c:pt>
                <c:pt idx="1">
                  <c:v>269252.57</c:v>
                </c:pt>
                <c:pt idx="2">
                  <c:v>124995.23999999999</c:v>
                </c:pt>
                <c:pt idx="3">
                  <c:v>135638.87</c:v>
                </c:pt>
              </c:numCache>
            </c:numRef>
          </c:val>
        </c:ser>
        <c:ser>
          <c:idx val="1"/>
          <c:order val="1"/>
          <c:tx>
            <c:strRef>
              <c:f>Sheet7!$C$36:$C$37</c:f>
              <c:strCache>
                <c:ptCount val="1"/>
                <c:pt idx="0">
                  <c:v>North</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Sheet7!$C$38:$C$42</c:f>
              <c:numCache>
                <c:formatCode>General</c:formatCode>
                <c:ptCount val="4"/>
                <c:pt idx="0">
                  <c:v>139421.06</c:v>
                </c:pt>
                <c:pt idx="1">
                  <c:v>216764.13999999998</c:v>
                </c:pt>
                <c:pt idx="2">
                  <c:v>127129.07999999999</c:v>
                </c:pt>
                <c:pt idx="3">
                  <c:v>80565.209999999992</c:v>
                </c:pt>
              </c:numCache>
            </c:numRef>
          </c:val>
        </c:ser>
        <c:ser>
          <c:idx val="2"/>
          <c:order val="2"/>
          <c:tx>
            <c:strRef>
              <c:f>Sheet7!$D$36:$D$37</c:f>
              <c:strCache>
                <c:ptCount val="1"/>
                <c:pt idx="0">
                  <c:v>South</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Sheet7!$D$38:$D$42</c:f>
              <c:numCache>
                <c:formatCode>General</c:formatCode>
                <c:ptCount val="4"/>
                <c:pt idx="0">
                  <c:v>131696.25</c:v>
                </c:pt>
                <c:pt idx="1">
                  <c:v>207479.18</c:v>
                </c:pt>
                <c:pt idx="2">
                  <c:v>140165.53</c:v>
                </c:pt>
                <c:pt idx="3">
                  <c:v>147218.32999999999</c:v>
                </c:pt>
              </c:numCache>
            </c:numRef>
          </c:val>
        </c:ser>
        <c:ser>
          <c:idx val="3"/>
          <c:order val="3"/>
          <c:tx>
            <c:strRef>
              <c:f>Sheet7!$E$36:$E$37</c:f>
              <c:strCache>
                <c:ptCount val="1"/>
                <c:pt idx="0">
                  <c:v>West</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Sheet7!$E$38:$E$42</c:f>
              <c:numCache>
                <c:formatCode>General</c:formatCode>
                <c:ptCount val="4"/>
                <c:pt idx="0">
                  <c:v>82357.900000000009</c:v>
                </c:pt>
                <c:pt idx="1">
                  <c:v>140334.66</c:v>
                </c:pt>
                <c:pt idx="2">
                  <c:v>160220.89000000001</c:v>
                </c:pt>
                <c:pt idx="3">
                  <c:v>226618.3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[average.xlsm]Sheet7!PivotTable5</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marker>
          <c:symbol val="none"/>
        </c:marke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marker>
          <c:symbol val="none"/>
        </c:marke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marker>
          <c:symbol val="none"/>
        </c:marke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marker>
          <c:symbol val="none"/>
        </c:marke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marker>
          <c:symbol val="none"/>
        </c:marke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marker>
          <c:symbol val="none"/>
        </c:marke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marker>
          <c:symbol val="none"/>
        </c:marke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s>
    <c:plotArea>
      <c:layout/>
      <c:pieChart>
        <c:varyColors val="1"/>
        <c:ser>
          <c:idx val="0"/>
          <c:order val="0"/>
          <c:tx>
            <c:strRef>
              <c:f>Sheet7!$B$36:$B$37</c:f>
              <c:strCache>
                <c:ptCount val="1"/>
                <c:pt idx="0">
                  <c:v>East</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Sheet7!$B$38:$B$42</c:f>
              <c:numCache>
                <c:formatCode>General</c:formatCode>
                <c:ptCount val="4"/>
                <c:pt idx="0">
                  <c:v>165703.50999999998</c:v>
                </c:pt>
                <c:pt idx="1">
                  <c:v>269252.57</c:v>
                </c:pt>
                <c:pt idx="2">
                  <c:v>124995.23999999999</c:v>
                </c:pt>
                <c:pt idx="3">
                  <c:v>135638.87</c:v>
                </c:pt>
              </c:numCache>
            </c:numRef>
          </c:val>
        </c:ser>
        <c:ser>
          <c:idx val="1"/>
          <c:order val="1"/>
          <c:tx>
            <c:strRef>
              <c:f>Sheet7!$C$36:$C$37</c:f>
              <c:strCache>
                <c:ptCount val="1"/>
                <c:pt idx="0">
                  <c:v>North</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Sheet7!$C$38:$C$42</c:f>
              <c:numCache>
                <c:formatCode>General</c:formatCode>
                <c:ptCount val="4"/>
                <c:pt idx="0">
                  <c:v>139421.06</c:v>
                </c:pt>
                <c:pt idx="1">
                  <c:v>216764.13999999998</c:v>
                </c:pt>
                <c:pt idx="2">
                  <c:v>127129.07999999999</c:v>
                </c:pt>
                <c:pt idx="3">
                  <c:v>80565.209999999992</c:v>
                </c:pt>
              </c:numCache>
            </c:numRef>
          </c:val>
        </c:ser>
        <c:ser>
          <c:idx val="2"/>
          <c:order val="2"/>
          <c:tx>
            <c:strRef>
              <c:f>Sheet7!$D$36:$D$37</c:f>
              <c:strCache>
                <c:ptCount val="1"/>
                <c:pt idx="0">
                  <c:v>South</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Sheet7!$D$38:$D$42</c:f>
              <c:numCache>
                <c:formatCode>General</c:formatCode>
                <c:ptCount val="4"/>
                <c:pt idx="0">
                  <c:v>131696.25</c:v>
                </c:pt>
                <c:pt idx="1">
                  <c:v>207479.18</c:v>
                </c:pt>
                <c:pt idx="2">
                  <c:v>140165.53</c:v>
                </c:pt>
                <c:pt idx="3">
                  <c:v>147218.32999999999</c:v>
                </c:pt>
              </c:numCache>
            </c:numRef>
          </c:val>
        </c:ser>
        <c:ser>
          <c:idx val="3"/>
          <c:order val="3"/>
          <c:tx>
            <c:strRef>
              <c:f>Sheet7!$E$36:$E$37</c:f>
              <c:strCache>
                <c:ptCount val="1"/>
                <c:pt idx="0">
                  <c:v>West</c:v>
                </c:pt>
              </c:strCache>
            </c:strRef>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cat>
            <c:strRef>
              <c:f>Sheet7!$A$38:$A$42</c:f>
              <c:strCache>
                <c:ptCount val="4"/>
                <c:pt idx="0">
                  <c:v>Product A</c:v>
                </c:pt>
                <c:pt idx="1">
                  <c:v>Product B</c:v>
                </c:pt>
                <c:pt idx="2">
                  <c:v>Product C</c:v>
                </c:pt>
                <c:pt idx="3">
                  <c:v>Product D</c:v>
                </c:pt>
              </c:strCache>
            </c:strRef>
          </c:cat>
          <c:val>
            <c:numRef>
              <c:f>Sheet7!$E$38:$E$42</c:f>
              <c:numCache>
                <c:formatCode>General</c:formatCode>
                <c:ptCount val="4"/>
                <c:pt idx="0">
                  <c:v>82357.900000000009</c:v>
                </c:pt>
                <c:pt idx="1">
                  <c:v>140334.66</c:v>
                </c:pt>
                <c:pt idx="2">
                  <c:v>160220.89000000001</c:v>
                </c:pt>
                <c:pt idx="3">
                  <c:v>226618.3</c:v>
                </c:pt>
              </c:numCache>
            </c:numRef>
          </c:val>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[average.xlsm]Sheet7!PivotTable3</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s>
    <c:plotArea>
      <c:layout>
        <c:manualLayout>
          <c:layoutTarget val="inner"/>
          <c:xMode val="edge"/>
          <c:yMode val="edge"/>
          <c:x val="9.4358705161854767E-2"/>
          <c:y val="0.12397929425488481"/>
          <c:w val="0.73683092738407696"/>
          <c:h val="0.65853091280256637"/>
        </c:manualLayout>
      </c:layout>
      <c:barChart>
        <c:barDir val="col"/>
        <c:grouping val="clustered"/>
        <c:varyColors val="0"/>
        <c:ser>
          <c:idx val="0"/>
          <c:order val="0"/>
          <c:tx>
            <c:strRef>
              <c:f>Sheet7!$B$3:$B$4</c:f>
              <c:strCache>
                <c:ptCount val="1"/>
                <c:pt idx="0">
                  <c:v>Product A</c:v>
                </c:pt>
              </c:strCache>
            </c:strRef>
          </c:tx>
          <c:spPr>
            <a:solidFill>
              <a:schemeClr val="accent1"/>
            </a:solidFill>
            <a:ln>
              <a:noFill/>
            </a:ln>
            <a:effectLst/>
          </c:spPr>
          <c:invertIfNegative val="0"/>
          <c:cat>
            <c:strRef>
              <c:f>Sheet7!$A$5:$A$9</c:f>
              <c:strCache>
                <c:ptCount val="4"/>
                <c:pt idx="0">
                  <c:v>East</c:v>
                </c:pt>
                <c:pt idx="1">
                  <c:v>North</c:v>
                </c:pt>
                <c:pt idx="2">
                  <c:v>South</c:v>
                </c:pt>
                <c:pt idx="3">
                  <c:v>West</c:v>
                </c:pt>
              </c:strCache>
            </c:strRef>
          </c:cat>
          <c:val>
            <c:numRef>
              <c:f>Sheet7!$B$5:$B$9</c:f>
              <c:numCache>
                <c:formatCode>General</c:formatCode>
                <c:ptCount val="4"/>
                <c:pt idx="0">
                  <c:v>17.176666666666666</c:v>
                </c:pt>
                <c:pt idx="1">
                  <c:v>33.724999999999994</c:v>
                </c:pt>
                <c:pt idx="2">
                  <c:v>31.805000000000003</c:v>
                </c:pt>
                <c:pt idx="3">
                  <c:v>37.569999999999993</c:v>
                </c:pt>
              </c:numCache>
            </c:numRef>
          </c:val>
        </c:ser>
        <c:ser>
          <c:idx val="1"/>
          <c:order val="1"/>
          <c:tx>
            <c:strRef>
              <c:f>Sheet7!$C$3:$C$4</c:f>
              <c:strCache>
                <c:ptCount val="1"/>
                <c:pt idx="0">
                  <c:v>Product B</c:v>
                </c:pt>
              </c:strCache>
            </c:strRef>
          </c:tx>
          <c:spPr>
            <a:solidFill>
              <a:schemeClr val="accent2"/>
            </a:solidFill>
            <a:ln>
              <a:noFill/>
            </a:ln>
            <a:effectLst/>
          </c:spPr>
          <c:invertIfNegative val="0"/>
          <c:cat>
            <c:strRef>
              <c:f>Sheet7!$A$5:$A$9</c:f>
              <c:strCache>
                <c:ptCount val="4"/>
                <c:pt idx="0">
                  <c:v>East</c:v>
                </c:pt>
                <c:pt idx="1">
                  <c:v>North</c:v>
                </c:pt>
                <c:pt idx="2">
                  <c:v>South</c:v>
                </c:pt>
                <c:pt idx="3">
                  <c:v>West</c:v>
                </c:pt>
              </c:strCache>
            </c:strRef>
          </c:cat>
          <c:val>
            <c:numRef>
              <c:f>Sheet7!$C$5:$C$9</c:f>
              <c:numCache>
                <c:formatCode>General</c:formatCode>
                <c:ptCount val="4"/>
                <c:pt idx="0">
                  <c:v>26.565714285714286</c:v>
                </c:pt>
                <c:pt idx="1">
                  <c:v>36.14</c:v>
                </c:pt>
                <c:pt idx="2">
                  <c:v>26.302500000000002</c:v>
                </c:pt>
                <c:pt idx="3">
                  <c:v>35.495000000000005</c:v>
                </c:pt>
              </c:numCache>
            </c:numRef>
          </c:val>
        </c:ser>
        <c:ser>
          <c:idx val="2"/>
          <c:order val="2"/>
          <c:tx>
            <c:strRef>
              <c:f>Sheet7!$D$3:$D$4</c:f>
              <c:strCache>
                <c:ptCount val="1"/>
                <c:pt idx="0">
                  <c:v>Product C</c:v>
                </c:pt>
              </c:strCache>
            </c:strRef>
          </c:tx>
          <c:spPr>
            <a:solidFill>
              <a:schemeClr val="accent3"/>
            </a:solidFill>
            <a:ln>
              <a:noFill/>
            </a:ln>
            <a:effectLst/>
          </c:spPr>
          <c:invertIfNegative val="0"/>
          <c:cat>
            <c:strRef>
              <c:f>Sheet7!$A$5:$A$9</c:f>
              <c:strCache>
                <c:ptCount val="4"/>
                <c:pt idx="0">
                  <c:v>East</c:v>
                </c:pt>
                <c:pt idx="1">
                  <c:v>North</c:v>
                </c:pt>
                <c:pt idx="2">
                  <c:v>South</c:v>
                </c:pt>
                <c:pt idx="3">
                  <c:v>West</c:v>
                </c:pt>
              </c:strCache>
            </c:strRef>
          </c:cat>
          <c:val>
            <c:numRef>
              <c:f>Sheet7!$D$5:$D$9</c:f>
              <c:numCache>
                <c:formatCode>General</c:formatCode>
                <c:ptCount val="4"/>
                <c:pt idx="0">
                  <c:v>18.802499999999998</c:v>
                </c:pt>
                <c:pt idx="1">
                  <c:v>33.661999999999999</c:v>
                </c:pt>
                <c:pt idx="2">
                  <c:v>18.239999999999998</c:v>
                </c:pt>
                <c:pt idx="3">
                  <c:v>31.067999999999994</c:v>
                </c:pt>
              </c:numCache>
            </c:numRef>
          </c:val>
        </c:ser>
        <c:ser>
          <c:idx val="3"/>
          <c:order val="3"/>
          <c:tx>
            <c:strRef>
              <c:f>Sheet7!$E$3:$E$4</c:f>
              <c:strCache>
                <c:ptCount val="1"/>
                <c:pt idx="0">
                  <c:v>Product D</c:v>
                </c:pt>
              </c:strCache>
            </c:strRef>
          </c:tx>
          <c:spPr>
            <a:solidFill>
              <a:schemeClr val="accent4"/>
            </a:solidFill>
            <a:ln>
              <a:noFill/>
            </a:ln>
            <a:effectLst/>
          </c:spPr>
          <c:invertIfNegative val="0"/>
          <c:cat>
            <c:strRef>
              <c:f>Sheet7!$A$5:$A$9</c:f>
              <c:strCache>
                <c:ptCount val="4"/>
                <c:pt idx="0">
                  <c:v>East</c:v>
                </c:pt>
                <c:pt idx="1">
                  <c:v>North</c:v>
                </c:pt>
                <c:pt idx="2">
                  <c:v>South</c:v>
                </c:pt>
                <c:pt idx="3">
                  <c:v>West</c:v>
                </c:pt>
              </c:strCache>
            </c:strRef>
          </c:cat>
          <c:val>
            <c:numRef>
              <c:f>Sheet7!$E$5:$E$9</c:f>
              <c:numCache>
                <c:formatCode>General</c:formatCode>
                <c:ptCount val="4"/>
                <c:pt idx="0">
                  <c:v>25.77333333333333</c:v>
                </c:pt>
                <c:pt idx="1">
                  <c:v>27.82</c:v>
                </c:pt>
                <c:pt idx="2">
                  <c:v>31.49</c:v>
                </c:pt>
                <c:pt idx="3">
                  <c:v>18.837142857142858</c:v>
                </c:pt>
              </c:numCache>
            </c:numRef>
          </c:val>
        </c:ser>
        <c:dLbls>
          <c:showLegendKey val="0"/>
          <c:showVal val="0"/>
          <c:showCatName val="0"/>
          <c:showSerName val="0"/>
          <c:showPercent val="0"/>
          <c:showBubbleSize val="0"/>
        </c:dLbls>
        <c:gapWidth val="219"/>
        <c:overlap val="-27"/>
        <c:axId val="634334944"/>
        <c:axId val="634335504"/>
      </c:barChart>
      <c:catAx>
        <c:axId val="6343349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335504"/>
        <c:crosses val="autoZero"/>
        <c:auto val="1"/>
        <c:lblAlgn val="ctr"/>
        <c:lblOffset val="100"/>
        <c:noMultiLvlLbl val="0"/>
      </c:catAx>
      <c:valAx>
        <c:axId val="63433550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433494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[average.xlsm]Sheet9!PivotTable1</c:name>
    <c:fmtId val="0"/>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Sheet9!$E$3</c:f>
              <c:strCache>
                <c:ptCount val="1"/>
                <c:pt idx="0">
                  <c:v>Total</c:v>
                </c:pt>
              </c:strCache>
            </c:strRef>
          </c:tx>
          <c:spPr>
            <a:solidFill>
              <a:schemeClr val="accent1"/>
            </a:solidFill>
            <a:ln>
              <a:noFill/>
            </a:ln>
            <a:effectLst/>
          </c:spPr>
          <c:invertIfNegative val="0"/>
          <c:cat>
            <c:strRef>
              <c:f>Sheet9!$D$4:$D$16</c:f>
              <c:strCache>
                <c:ptCount val="12"/>
                <c:pt idx="0">
                  <c:v>Jan-24</c:v>
                </c:pt>
                <c:pt idx="1">
                  <c:v>Feb-24</c:v>
                </c:pt>
                <c:pt idx="2">
                  <c:v>Mar-24</c:v>
                </c:pt>
                <c:pt idx="3">
                  <c:v>Apr-24</c:v>
                </c:pt>
                <c:pt idx="4">
                  <c:v>May-24</c:v>
                </c:pt>
                <c:pt idx="5">
                  <c:v>Jun-24</c:v>
                </c:pt>
                <c:pt idx="6">
                  <c:v>Jul-24</c:v>
                </c:pt>
                <c:pt idx="7">
                  <c:v>Aug-24</c:v>
                </c:pt>
                <c:pt idx="8">
                  <c:v>Sep-24</c:v>
                </c:pt>
                <c:pt idx="9">
                  <c:v>Oct-24</c:v>
                </c:pt>
                <c:pt idx="10">
                  <c:v>Nov-24</c:v>
                </c:pt>
                <c:pt idx="11">
                  <c:v>Dec-24</c:v>
                </c:pt>
              </c:strCache>
            </c:strRef>
          </c:cat>
          <c:val>
            <c:numRef>
              <c:f>Sheet9!$E$4:$E$16</c:f>
              <c:numCache>
                <c:formatCode>General</c:formatCode>
                <c:ptCount val="12"/>
                <c:pt idx="0">
                  <c:v>3500</c:v>
                </c:pt>
                <c:pt idx="1">
                  <c:v>4200</c:v>
                </c:pt>
                <c:pt idx="2">
                  <c:v>5000</c:v>
                </c:pt>
                <c:pt idx="3">
                  <c:v>4800</c:v>
                </c:pt>
                <c:pt idx="4">
                  <c:v>6200</c:v>
                </c:pt>
                <c:pt idx="5">
                  <c:v>7000</c:v>
                </c:pt>
                <c:pt idx="6">
                  <c:v>6500</c:v>
                </c:pt>
                <c:pt idx="7">
                  <c:v>5800</c:v>
                </c:pt>
                <c:pt idx="8">
                  <c:v>6000</c:v>
                </c:pt>
                <c:pt idx="9">
                  <c:v>6700</c:v>
                </c:pt>
                <c:pt idx="10">
                  <c:v>7500</c:v>
                </c:pt>
                <c:pt idx="11">
                  <c:v>8200</c:v>
                </c:pt>
              </c:numCache>
            </c:numRef>
          </c:val>
        </c:ser>
        <c:dLbls>
          <c:showLegendKey val="0"/>
          <c:showVal val="0"/>
          <c:showCatName val="0"/>
          <c:showSerName val="0"/>
          <c:showPercent val="0"/>
          <c:showBubbleSize val="0"/>
        </c:dLbls>
        <c:gapWidth val="219"/>
        <c:overlap val="-27"/>
        <c:axId val="633653792"/>
        <c:axId val="633654352"/>
      </c:barChart>
      <c:catAx>
        <c:axId val="633653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654352"/>
        <c:crosses val="autoZero"/>
        <c:auto val="1"/>
        <c:lblAlgn val="ctr"/>
        <c:lblOffset val="100"/>
        <c:noMultiLvlLbl val="0"/>
      </c:catAx>
      <c:valAx>
        <c:axId val="6336543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3653792"/>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1</xdr:col>
      <xdr:colOff>347662</xdr:colOff>
      <xdr:row>12</xdr:row>
      <xdr:rowOff>161925</xdr:rowOff>
    </xdr:from>
    <xdr:to>
      <xdr:col>7</xdr:col>
      <xdr:colOff>414337</xdr:colOff>
      <xdr:row>27</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78684</xdr:colOff>
      <xdr:row>2</xdr:row>
      <xdr:rowOff>59841</xdr:rowOff>
    </xdr:from>
    <xdr:to>
      <xdr:col>14</xdr:col>
      <xdr:colOff>253033</xdr:colOff>
      <xdr:row>16</xdr:row>
      <xdr:rowOff>136041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109537</xdr:colOff>
      <xdr:row>0</xdr:row>
      <xdr:rowOff>0</xdr:rowOff>
    </xdr:from>
    <xdr:to>
      <xdr:col>13</xdr:col>
      <xdr:colOff>414337</xdr:colOff>
      <xdr:row>14</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381000</xdr:colOff>
      <xdr:row>27</xdr:row>
      <xdr:rowOff>16566</xdr:rowOff>
    </xdr:from>
    <xdr:to>
      <xdr:col>9</xdr:col>
      <xdr:colOff>368576</xdr:colOff>
      <xdr:row>36</xdr:row>
      <xdr:rowOff>162340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141632</xdr:colOff>
      <xdr:row>9</xdr:row>
      <xdr:rowOff>145774</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38099</xdr:colOff>
      <xdr:row>0</xdr:row>
      <xdr:rowOff>9525</xdr:rowOff>
    </xdr:from>
    <xdr:to>
      <xdr:col>10</xdr:col>
      <xdr:colOff>137490</xdr:colOff>
      <xdr:row>9</xdr:row>
      <xdr:rowOff>152399</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0</xdr:colOff>
      <xdr:row>10</xdr:row>
      <xdr:rowOff>85725</xdr:rowOff>
    </xdr:from>
    <xdr:to>
      <xdr:col>3</xdr:col>
      <xdr:colOff>0</xdr:colOff>
      <xdr:row>18</xdr:row>
      <xdr:rowOff>104775</xdr:rowOff>
    </xdr:to>
    <mc:AlternateContent xmlns:mc="http://schemas.openxmlformats.org/markup-compatibility/2006" xmlns:a14="http://schemas.microsoft.com/office/drawing/2010/main">
      <mc:Choice Requires="a14">
        <xdr:graphicFrame macro="">
          <xdr:nvGraphicFramePr>
            <xdr:cNvPr id="7" name="Product"/>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0" y="1990725"/>
              <a:ext cx="1828800" cy="154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209550</xdr:colOff>
      <xdr:row>9</xdr:row>
      <xdr:rowOff>123825</xdr:rowOff>
    </xdr:from>
    <xdr:to>
      <xdr:col>7</xdr:col>
      <xdr:colOff>209550</xdr:colOff>
      <xdr:row>22</xdr:row>
      <xdr:rowOff>171450</xdr:rowOff>
    </xdr:to>
    <mc:AlternateContent xmlns:mc="http://schemas.openxmlformats.org/markup-compatibility/2006" xmlns:a14="http://schemas.microsoft.com/office/drawing/2010/main">
      <mc:Choice Requires="a14">
        <xdr:graphicFrame macro="">
          <xdr:nvGraphicFramePr>
            <xdr:cNvPr id="8" name="Geography"/>
            <xdr:cNvGraphicFramePr/>
          </xdr:nvGraphicFramePr>
          <xdr:xfrm>
            <a:off x="0" y="0"/>
            <a:ext cx="0" cy="0"/>
          </xdr:xfrm>
          <a:graphic>
            <a:graphicData uri="http://schemas.microsoft.com/office/drawing/2010/slicer">
              <sle:slicer xmlns:sle="http://schemas.microsoft.com/office/drawing/2010/slicer" name="Geography"/>
            </a:graphicData>
          </a:graphic>
        </xdr:graphicFrame>
      </mc:Choice>
      <mc:Fallback xmlns="">
        <xdr:sp macro="" textlink="">
          <xdr:nvSpPr>
            <xdr:cNvPr id="0" name=""/>
            <xdr:cNvSpPr>
              <a:spLocks noTextEdit="1"/>
            </xdr:cNvSpPr>
          </xdr:nvSpPr>
          <xdr:spPr>
            <a:xfrm>
              <a:off x="2647950" y="1838325"/>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600075</xdr:colOff>
      <xdr:row>10</xdr:row>
      <xdr:rowOff>19050</xdr:rowOff>
    </xdr:from>
    <xdr:to>
      <xdr:col>11</xdr:col>
      <xdr:colOff>600075</xdr:colOff>
      <xdr:row>23</xdr:row>
      <xdr:rowOff>66675</xdr:rowOff>
    </xdr:to>
    <mc:AlternateContent xmlns:mc="http://schemas.openxmlformats.org/markup-compatibility/2006" xmlns:a14="http://schemas.microsoft.com/office/drawing/2010/main">
      <mc:Choice Requires="a14">
        <xdr:graphicFrame macro="">
          <xdr:nvGraphicFramePr>
            <xdr:cNvPr id="9" name="Product 1"/>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5476875" y="19240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5</xdr:col>
      <xdr:colOff>395287</xdr:colOff>
      <xdr:row>2</xdr:row>
      <xdr:rowOff>152400</xdr:rowOff>
    </xdr:from>
    <xdr:to>
      <xdr:col>13</xdr:col>
      <xdr:colOff>90487</xdr:colOff>
      <xdr:row>17</xdr:row>
      <xdr:rowOff>38100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666750</xdr:colOff>
          <xdr:row>14</xdr:row>
          <xdr:rowOff>180975</xdr:rowOff>
        </xdr:from>
        <xdr:to>
          <xdr:col>1</xdr:col>
          <xdr:colOff>333375</xdr:colOff>
          <xdr:row>16</xdr:row>
          <xdr:rowOff>38100</xdr:rowOff>
        </xdr:to>
        <xdr:sp macro="" textlink="">
          <xdr:nvSpPr>
            <xdr:cNvPr id="20484" name="Button 4" hidden="1">
              <a:extLst>
                <a:ext uri="{63B3BB69-23CF-44E3-9099-C40C66FF867C}">
                  <a14:compatExt spid="_x0000_s204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4</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180975</xdr:colOff>
          <xdr:row>5</xdr:row>
          <xdr:rowOff>57150</xdr:rowOff>
        </xdr:from>
        <xdr:to>
          <xdr:col>5</xdr:col>
          <xdr:colOff>247650</xdr:colOff>
          <xdr:row>6</xdr:row>
          <xdr:rowOff>104775</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a:t>
              </a:r>
            </a:p>
            <a:p>
              <a:pPr algn="ctr" rtl="0">
                <a:defRPr sz="1000"/>
              </a:pPr>
              <a:r>
                <a:rPr lang="en-US" sz="1100" b="0" i="0" u="none" strike="noStrike" baseline="0">
                  <a:solidFill>
                    <a:srgbClr val="000000"/>
                  </a:solidFill>
                  <a:latin typeface="Calibri"/>
                </a:rPr>
                <a:t>button</a:t>
              </a:r>
            </a:p>
            <a:p>
              <a:pPr algn="ctr" rtl="0">
                <a:defRPr sz="1000"/>
              </a:pPr>
              <a:r>
                <a:rPr lang="en-US" sz="1100" b="0" i="0" u="none" strike="noStrike" baseline="0">
                  <a:solidFill>
                    <a:srgbClr val="000000"/>
                  </a:solidFill>
                  <a:latin typeface="Calibri"/>
                </a:rPr>
                <a:t>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333375</xdr:colOff>
          <xdr:row>8</xdr:row>
          <xdr:rowOff>95250</xdr:rowOff>
        </xdr:from>
        <xdr:to>
          <xdr:col>5</xdr:col>
          <xdr:colOff>266700</xdr:colOff>
          <xdr:row>9</xdr:row>
          <xdr:rowOff>142875</xdr:rowOff>
        </xdr:to>
        <xdr:sp macro="" textlink="">
          <xdr:nvSpPr>
            <xdr:cNvPr id="19458" name="Button 2" hidden="1">
              <a:extLst>
                <a:ext uri="{63B3BB69-23CF-44E3-9099-C40C66FF867C}">
                  <a14:compatExt spid="_x0000_s194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Button </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Lenovo" refreshedDate="45760.994341435187" createdVersion="5" refreshedVersion="5" minRefreshableVersion="3" recordCount="21">
  <cacheSource type="worksheet">
    <worksheetSource ref="A1:C22" sheet="pivort"/>
  </cacheSource>
  <cacheFields count="3">
    <cacheField name="Sales person" numFmtId="0">
      <sharedItems count="7">
        <s v="Bob"/>
        <s v="Harry"/>
        <s v="Julie"/>
        <s v="Stan"/>
        <s v="Mark"/>
        <s v="Joe"/>
        <s v="Martha"/>
      </sharedItems>
    </cacheField>
    <cacheField name="Region" numFmtId="0">
      <sharedItems count="7">
        <s v="US"/>
        <s v="Australia"/>
        <s v="Canada"/>
        <s v="UAE"/>
        <s v="russia"/>
        <s v="India"/>
        <s v="china"/>
      </sharedItems>
    </cacheField>
    <cacheField name="Sales" numFmtId="0">
      <sharedItems containsSemiMixedTypes="0" containsString="0" containsNumber="1" containsInteger="1" minValue="157" maxValue="991" count="19">
        <n v="906"/>
        <n v="233"/>
        <n v="991"/>
        <n v="430"/>
        <n v="538"/>
        <n v="423"/>
        <n v="783"/>
        <n v="782"/>
        <n v="450"/>
        <n v="391"/>
        <n v="301"/>
        <n v="632"/>
        <n v="157"/>
        <n v="289"/>
        <n v="791"/>
        <n v="542"/>
        <n v="722"/>
        <n v="529"/>
        <n v="693"/>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Lenovo" refreshedDate="45761.691528819443" createdVersion="5" refreshedVersion="5" minRefreshableVersion="3" recordCount="100">
  <cacheSource type="worksheet">
    <worksheetSource ref="A1:G101" sheet="Sheet3"/>
  </cacheSource>
  <cacheFields count="7">
    <cacheField name="Date" numFmtId="22">
      <sharedItems containsSemiMixedTypes="0" containsNonDate="0" containsDate="1" containsString="0" minDate="2023-01-01T00:00:00" maxDate="2023-04-11T00:00:00" count="100">
        <d v="2023-01-01T00:00:00"/>
        <d v="2023-01-02T00:00:00"/>
        <d v="2023-01-03T00:00:00"/>
        <d v="2023-01-04T00:00:00"/>
        <d v="2023-01-05T00:00:00"/>
        <d v="2023-01-06T00:00:00"/>
        <d v="2023-01-07T00:00:00"/>
        <d v="2023-01-08T00:00:00"/>
        <d v="2023-01-09T00:00:00"/>
        <d v="2023-01-10T00:00:00"/>
        <d v="2023-01-11T00:00:00"/>
        <d v="2023-01-12T00:00:00"/>
        <d v="2023-01-13T00:00:00"/>
        <d v="2023-01-14T00:00:00"/>
        <d v="2023-01-15T00:00:00"/>
        <d v="2023-01-16T00:00:00"/>
        <d v="2023-01-17T00:00:00"/>
        <d v="2023-01-18T00:00:00"/>
        <d v="2023-01-19T00:00:00"/>
        <d v="2023-01-20T00:00:00"/>
        <d v="2023-01-21T00:00:00"/>
        <d v="2023-01-22T00:00:00"/>
        <d v="2023-01-23T00:00:00"/>
        <d v="2023-01-24T00:00:00"/>
        <d v="2023-01-25T00:00:00"/>
        <d v="2023-01-26T00:00:00"/>
        <d v="2023-01-27T00:00:00"/>
        <d v="2023-01-28T00:00:00"/>
        <d v="2023-01-29T00:00:00"/>
        <d v="2023-01-30T00:00:00"/>
        <d v="2023-01-31T00:00:00"/>
        <d v="2023-02-01T00:00:00"/>
        <d v="2023-02-02T00:00:00"/>
        <d v="2023-02-03T00:00:00"/>
        <d v="2023-02-04T00:00:00"/>
        <d v="2023-02-05T00:00:00"/>
        <d v="2023-02-06T00:00:00"/>
        <d v="2023-02-07T00:00:00"/>
        <d v="2023-02-08T00:00:00"/>
        <d v="2023-02-09T00:00:00"/>
        <d v="2023-02-10T00:00:00"/>
        <d v="2023-02-11T00:00:00"/>
        <d v="2023-02-12T00:00:00"/>
        <d v="2023-02-13T00:00:00"/>
        <d v="2023-02-14T00:00:00"/>
        <d v="2023-02-15T00:00:00"/>
        <d v="2023-02-16T00:00:00"/>
        <d v="2023-02-17T00:00:00"/>
        <d v="2023-02-18T00:00:00"/>
        <d v="2023-02-19T00:00:00"/>
        <d v="2023-02-20T00:00:00"/>
        <d v="2023-02-21T00:00:00"/>
        <d v="2023-02-22T00:00:00"/>
        <d v="2023-02-23T00:00:00"/>
        <d v="2023-02-24T00:00:00"/>
        <d v="2023-02-25T00:00:00"/>
        <d v="2023-02-26T00:00:00"/>
        <d v="2023-02-27T00:00:00"/>
        <d v="2023-02-28T00:00:00"/>
        <d v="2023-03-01T00:00:00"/>
        <d v="2023-03-02T00:00:00"/>
        <d v="2023-03-03T00:00:00"/>
        <d v="2023-03-04T00:00:00"/>
        <d v="2023-03-05T00:00:00"/>
        <d v="2023-03-06T00:00:00"/>
        <d v="2023-03-07T00:00:00"/>
        <d v="2023-03-08T00:00:00"/>
        <d v="2023-03-09T00:00:00"/>
        <d v="2023-03-10T00:00:00"/>
        <d v="2023-03-11T00:00:00"/>
        <d v="2023-03-12T00:00:00"/>
        <d v="2023-03-13T00:00:00"/>
        <d v="2023-03-14T00:00:00"/>
        <d v="2023-03-15T00:00:00"/>
        <d v="2023-03-16T00:00:00"/>
        <d v="2023-03-17T00:00:00"/>
        <d v="2023-03-18T00:00:00"/>
        <d v="2023-03-19T00:00:00"/>
        <d v="2023-03-20T00:00:00"/>
        <d v="2023-03-21T00:00:00"/>
        <d v="2023-03-22T00:00:00"/>
        <d v="2023-03-23T00:00:00"/>
        <d v="2023-03-24T00:00:00"/>
        <d v="2023-03-25T00:00:00"/>
        <d v="2023-03-26T00:00:00"/>
        <d v="2023-03-27T00:00:00"/>
        <d v="2023-03-28T00:00:00"/>
        <d v="2023-03-29T00:00:00"/>
        <d v="2023-03-30T00:00:00"/>
        <d v="2023-03-31T00:00:00"/>
        <d v="2023-04-01T00:00:00"/>
        <d v="2023-04-02T00:00:00"/>
        <d v="2023-04-03T00:00:00"/>
        <d v="2023-04-04T00:00:00"/>
        <d v="2023-04-05T00:00:00"/>
        <d v="2023-04-06T00:00:00"/>
        <d v="2023-04-07T00:00:00"/>
        <d v="2023-04-08T00:00:00"/>
        <d v="2023-04-09T00:00:00"/>
        <d v="2023-04-10T00:00:00"/>
      </sharedItems>
      <fieldGroup base="0">
        <rangePr groupBy="months" startDate="2023-01-01T00:00:00" endDate="2023-04-11T00:00:00"/>
        <groupItems count="14">
          <s v="&lt;1/1/2023"/>
          <s v="Jan"/>
          <s v="Feb"/>
          <s v="Mar"/>
          <s v="Apr"/>
          <s v="May"/>
          <s v="Jun"/>
          <s v="Jul"/>
          <s v="Aug"/>
          <s v="Sep"/>
          <s v="Oct"/>
          <s v="Nov"/>
          <s v="Dec"/>
          <s v="&gt;4/11/2023"/>
        </groupItems>
      </fieldGroup>
    </cacheField>
    <cacheField name="Name" numFmtId="0">
      <sharedItems count="10">
        <s v="Charlie"/>
        <s v="Edward"/>
        <s v="Bob"/>
        <s v="Alice"/>
        <s v="Hannah"/>
        <s v="Ian"/>
        <s v="George"/>
        <s v="Diana"/>
        <s v="Judy"/>
        <s v="Fiona"/>
      </sharedItems>
    </cacheField>
    <cacheField name="Geography" numFmtId="0">
      <sharedItems count="4">
        <s v="East"/>
        <s v="West"/>
        <s v="South"/>
        <s v="North"/>
      </sharedItems>
    </cacheField>
    <cacheField name="Product" numFmtId="0">
      <sharedItems count="4">
        <s v="Product A"/>
        <s v="Product B"/>
        <s v="Product D"/>
        <s v="Product C"/>
      </sharedItems>
    </cacheField>
    <cacheField name="Contracts" numFmtId="0">
      <sharedItems containsSemiMixedTypes="0" containsString="0" containsNumber="1" containsInteger="1" minValue="1" maxValue="50"/>
    </cacheField>
    <cacheField name="Revenue" numFmtId="0">
      <sharedItems containsSemiMixedTypes="0" containsString="0" containsNumber="1" minValue="1101.23" maxValue="49866.22"/>
    </cacheField>
    <cacheField name="Margin %" numFmtId="0">
      <sharedItems containsSemiMixedTypes="0" containsString="0" containsNumber="1" minValue="5.41" maxValue="49.78" count="100">
        <n v="13.19"/>
        <n v="30.53"/>
        <n v="46.47"/>
        <n v="41.43"/>
        <n v="13.2"/>
        <n v="27.24"/>
        <n v="13.27"/>
        <n v="28.66"/>
        <n v="46.12"/>
        <n v="21.37"/>
        <n v="49.78"/>
        <n v="43.3"/>
        <n v="43.35"/>
        <n v="6.34"/>
        <n v="17.329999999999998"/>
        <n v="22.85"/>
        <n v="25.6"/>
        <n v="10.48"/>
        <n v="39.200000000000003"/>
        <n v="38.67"/>
        <n v="43.34"/>
        <n v="15.28"/>
        <n v="20.2"/>
        <n v="26.9"/>
        <n v="49.01"/>
        <n v="36.159999999999997"/>
        <n v="16.87"/>
        <n v="40.54"/>
        <n v="36.520000000000003"/>
        <n v="40.409999999999997"/>
        <n v="10.53"/>
        <n v="31.49"/>
        <n v="25.52"/>
        <n v="23.01"/>
        <n v="44.66"/>
        <n v="15.72"/>
        <n v="11.86"/>
        <n v="35.49"/>
        <n v="14.59"/>
        <n v="23.7"/>
        <n v="8.69"/>
        <n v="23.57"/>
        <n v="45.12"/>
        <n v="26.22"/>
        <n v="24.04"/>
        <n v="31.47"/>
        <n v="30.42"/>
        <n v="47.34"/>
        <n v="16.97"/>
        <n v="34.76"/>
        <n v="19.850000000000001"/>
        <n v="25.07"/>
        <n v="29.23"/>
        <n v="41.58"/>
        <n v="6.61"/>
        <n v="46.46"/>
        <n v="24.31"/>
        <n v="13.77"/>
        <n v="36.479999999999997"/>
        <n v="27.89"/>
        <n v="28.73"/>
        <n v="9.44"/>
        <n v="22.24"/>
        <n v="35.56"/>
        <n v="12.67"/>
        <n v="9.81"/>
        <n v="31.43"/>
        <n v="22.62"/>
        <n v="43.41"/>
        <n v="6.4"/>
        <n v="10.08"/>
        <n v="30.32"/>
        <n v="44.28"/>
        <n v="35.08"/>
        <n v="24.53"/>
        <n v="17.86"/>
        <n v="19.68"/>
        <n v="23.77"/>
        <n v="38.29"/>
        <n v="33.880000000000003"/>
        <n v="34.33"/>
        <n v="24.51"/>
        <n v="46.2"/>
        <n v="11.3"/>
        <n v="18.899999999999999"/>
        <n v="21.02"/>
        <n v="25.96"/>
        <n v="39.909999999999997"/>
        <n v="46.8"/>
        <n v="17.010000000000002"/>
        <n v="21.08"/>
        <n v="22.48"/>
        <n v="10.49"/>
        <n v="38.74"/>
        <n v="5.41"/>
        <n v="29.51"/>
        <n v="49.67"/>
        <n v="45.48"/>
        <n v="40.700000000000003"/>
        <n v="34.65"/>
      </sharedItems>
    </cacheField>
  </cacheFields>
  <extLst>
    <ext xmlns:x14="http://schemas.microsoft.com/office/spreadsheetml/2009/9/main" uri="{725AE2AE-9491-48be-B2B4-4EB974FC3084}">
      <x14:pivotCacheDefinition pivotCacheId="1"/>
    </ext>
  </extLst>
</pivotCacheDefinition>
</file>

<file path=xl/pivotCache/pivotCacheDefinition3.xml><?xml version="1.0" encoding="utf-8"?>
<pivotCacheDefinition xmlns="http://schemas.openxmlformats.org/spreadsheetml/2006/main" xmlns:r="http://schemas.openxmlformats.org/officeDocument/2006/relationships" r:id="rId1" refreshedBy="Lenovo" refreshedDate="45764.358944791667" createdVersion="5" refreshedVersion="5" minRefreshableVersion="3" recordCount="12">
  <cacheSource type="worksheet">
    <worksheetSource ref="A2:B14" sheet="Sheet9"/>
  </cacheSource>
  <cacheFields count="2">
    <cacheField name="Month" numFmtId="17">
      <sharedItems containsSemiMixedTypes="0" containsNonDate="0" containsDate="1" containsString="0" minDate="2024-01-01T00:00:00" maxDate="2024-12-02T00:00:00" count="12">
        <d v="2024-01-01T00:00:00"/>
        <d v="2024-02-01T00:00:00"/>
        <d v="2024-03-01T00:00:00"/>
        <d v="2024-04-01T00:00:00"/>
        <d v="2024-05-01T00:00:00"/>
        <d v="2024-06-01T00:00:00"/>
        <d v="2024-07-01T00:00:00"/>
        <d v="2024-08-01T00:00:00"/>
        <d v="2024-09-01T00:00:00"/>
        <d v="2024-10-01T00:00:00"/>
        <d v="2024-11-01T00:00:00"/>
        <d v="2024-12-01T00:00:00"/>
      </sharedItems>
    </cacheField>
    <cacheField name="Sales" numFmtId="3">
      <sharedItems containsSemiMixedTypes="0" containsString="0" containsNumber="1" containsInteger="1" minValue="3500" maxValue="820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1">
  <r>
    <x v="0"/>
    <x v="0"/>
    <x v="0"/>
  </r>
  <r>
    <x v="1"/>
    <x v="1"/>
    <x v="1"/>
  </r>
  <r>
    <x v="2"/>
    <x v="2"/>
    <x v="2"/>
  </r>
  <r>
    <x v="0"/>
    <x v="0"/>
    <x v="3"/>
  </r>
  <r>
    <x v="3"/>
    <x v="2"/>
    <x v="4"/>
  </r>
  <r>
    <x v="4"/>
    <x v="3"/>
    <x v="5"/>
  </r>
  <r>
    <x v="0"/>
    <x v="4"/>
    <x v="6"/>
  </r>
  <r>
    <x v="5"/>
    <x v="2"/>
    <x v="7"/>
  </r>
  <r>
    <x v="4"/>
    <x v="0"/>
    <x v="7"/>
  </r>
  <r>
    <x v="6"/>
    <x v="0"/>
    <x v="8"/>
  </r>
  <r>
    <x v="0"/>
    <x v="1"/>
    <x v="9"/>
  </r>
  <r>
    <x v="2"/>
    <x v="5"/>
    <x v="10"/>
  </r>
  <r>
    <x v="1"/>
    <x v="5"/>
    <x v="10"/>
  </r>
  <r>
    <x v="6"/>
    <x v="0"/>
    <x v="11"/>
  </r>
  <r>
    <x v="0"/>
    <x v="2"/>
    <x v="12"/>
  </r>
  <r>
    <x v="4"/>
    <x v="0"/>
    <x v="13"/>
  </r>
  <r>
    <x v="6"/>
    <x v="6"/>
    <x v="14"/>
  </r>
  <r>
    <x v="1"/>
    <x v="6"/>
    <x v="15"/>
  </r>
  <r>
    <x v="0"/>
    <x v="0"/>
    <x v="16"/>
  </r>
  <r>
    <x v="6"/>
    <x v="2"/>
    <x v="17"/>
  </r>
  <r>
    <x v="2"/>
    <x v="0"/>
    <x v="18"/>
  </r>
</pivotCacheRecords>
</file>

<file path=xl/pivotCache/pivotCacheRecords2.xml><?xml version="1.0" encoding="utf-8"?>
<pivotCacheRecords xmlns="http://schemas.openxmlformats.org/spreadsheetml/2006/main" xmlns:r="http://schemas.openxmlformats.org/officeDocument/2006/relationships" count="100">
  <r>
    <x v="0"/>
    <x v="0"/>
    <x v="0"/>
    <x v="0"/>
    <n v="13"/>
    <n v="10440.15"/>
    <x v="0"/>
  </r>
  <r>
    <x v="1"/>
    <x v="1"/>
    <x v="1"/>
    <x v="1"/>
    <n v="31"/>
    <n v="11466.84"/>
    <x v="1"/>
  </r>
  <r>
    <x v="2"/>
    <x v="2"/>
    <x v="2"/>
    <x v="0"/>
    <n v="13"/>
    <n v="21517.63"/>
    <x v="2"/>
  </r>
  <r>
    <x v="3"/>
    <x v="1"/>
    <x v="2"/>
    <x v="1"/>
    <n v="9"/>
    <n v="37793.629999999997"/>
    <x v="3"/>
  </r>
  <r>
    <x v="4"/>
    <x v="3"/>
    <x v="1"/>
    <x v="2"/>
    <n v="25"/>
    <n v="44577.77"/>
    <x v="4"/>
  </r>
  <r>
    <x v="5"/>
    <x v="1"/>
    <x v="1"/>
    <x v="2"/>
    <n v="48"/>
    <n v="23727.13"/>
    <x v="5"/>
  </r>
  <r>
    <x v="6"/>
    <x v="4"/>
    <x v="1"/>
    <x v="2"/>
    <n v="42"/>
    <n v="1101.23"/>
    <x v="6"/>
  </r>
  <r>
    <x v="7"/>
    <x v="5"/>
    <x v="2"/>
    <x v="2"/>
    <n v="38"/>
    <n v="27810.37"/>
    <x v="7"/>
  </r>
  <r>
    <x v="8"/>
    <x v="5"/>
    <x v="0"/>
    <x v="2"/>
    <n v="37"/>
    <n v="11487.24"/>
    <x v="8"/>
  </r>
  <r>
    <x v="9"/>
    <x v="5"/>
    <x v="2"/>
    <x v="3"/>
    <n v="22"/>
    <n v="18725.37"/>
    <x v="9"/>
  </r>
  <r>
    <x v="10"/>
    <x v="5"/>
    <x v="3"/>
    <x v="1"/>
    <n v="2"/>
    <n v="48493.86"/>
    <x v="10"/>
  </r>
  <r>
    <x v="11"/>
    <x v="5"/>
    <x v="1"/>
    <x v="3"/>
    <n v="10"/>
    <n v="46466.03"/>
    <x v="11"/>
  </r>
  <r>
    <x v="12"/>
    <x v="4"/>
    <x v="3"/>
    <x v="2"/>
    <n v="7"/>
    <n v="20174.53"/>
    <x v="12"/>
  </r>
  <r>
    <x v="13"/>
    <x v="6"/>
    <x v="0"/>
    <x v="2"/>
    <n v="2"/>
    <n v="10233.99"/>
    <x v="13"/>
  </r>
  <r>
    <x v="14"/>
    <x v="6"/>
    <x v="0"/>
    <x v="3"/>
    <n v="7"/>
    <n v="49866.22"/>
    <x v="14"/>
  </r>
  <r>
    <x v="15"/>
    <x v="7"/>
    <x v="2"/>
    <x v="1"/>
    <n v="26"/>
    <n v="16940.849999999999"/>
    <x v="15"/>
  </r>
  <r>
    <x v="16"/>
    <x v="2"/>
    <x v="2"/>
    <x v="2"/>
    <n v="45"/>
    <n v="26548.14"/>
    <x v="16"/>
  </r>
  <r>
    <x v="17"/>
    <x v="7"/>
    <x v="3"/>
    <x v="2"/>
    <n v="38"/>
    <n v="44641.52"/>
    <x v="17"/>
  </r>
  <r>
    <x v="18"/>
    <x v="2"/>
    <x v="0"/>
    <x v="1"/>
    <n v="11"/>
    <n v="48220.57"/>
    <x v="18"/>
  </r>
  <r>
    <x v="19"/>
    <x v="8"/>
    <x v="2"/>
    <x v="2"/>
    <n v="19"/>
    <n v="43555.96"/>
    <x v="19"/>
  </r>
  <r>
    <x v="20"/>
    <x v="4"/>
    <x v="1"/>
    <x v="0"/>
    <n v="18"/>
    <n v="20130.560000000001"/>
    <x v="20"/>
  </r>
  <r>
    <x v="21"/>
    <x v="6"/>
    <x v="2"/>
    <x v="3"/>
    <n v="28"/>
    <n v="36005.86"/>
    <x v="21"/>
  </r>
  <r>
    <x v="22"/>
    <x v="1"/>
    <x v="0"/>
    <x v="0"/>
    <n v="4"/>
    <n v="10396.84"/>
    <x v="22"/>
  </r>
  <r>
    <x v="23"/>
    <x v="9"/>
    <x v="0"/>
    <x v="3"/>
    <n v="2"/>
    <n v="41740.93"/>
    <x v="23"/>
  </r>
  <r>
    <x v="24"/>
    <x v="9"/>
    <x v="3"/>
    <x v="1"/>
    <n v="49"/>
    <n v="37420.230000000003"/>
    <x v="24"/>
  </r>
  <r>
    <x v="25"/>
    <x v="7"/>
    <x v="3"/>
    <x v="0"/>
    <n v="6"/>
    <n v="24660.68"/>
    <x v="25"/>
  </r>
  <r>
    <x v="26"/>
    <x v="0"/>
    <x v="3"/>
    <x v="1"/>
    <n v="48"/>
    <n v="1303.94"/>
    <x v="26"/>
  </r>
  <r>
    <x v="27"/>
    <x v="0"/>
    <x v="3"/>
    <x v="1"/>
    <n v="21"/>
    <n v="7368.06"/>
    <x v="27"/>
  </r>
  <r>
    <x v="28"/>
    <x v="5"/>
    <x v="0"/>
    <x v="2"/>
    <n v="40"/>
    <n v="26963.08"/>
    <x v="28"/>
  </r>
  <r>
    <x v="29"/>
    <x v="0"/>
    <x v="3"/>
    <x v="1"/>
    <n v="20"/>
    <n v="7134.56"/>
    <x v="29"/>
  </r>
  <r>
    <x v="30"/>
    <x v="1"/>
    <x v="0"/>
    <x v="1"/>
    <n v="45"/>
    <n v="43417.04"/>
    <x v="30"/>
  </r>
  <r>
    <x v="31"/>
    <x v="9"/>
    <x v="1"/>
    <x v="3"/>
    <n v="3"/>
    <n v="4113.8599999999997"/>
    <x v="31"/>
  </r>
  <r>
    <x v="32"/>
    <x v="6"/>
    <x v="3"/>
    <x v="3"/>
    <n v="43"/>
    <n v="2458.65"/>
    <x v="32"/>
  </r>
  <r>
    <x v="33"/>
    <x v="4"/>
    <x v="2"/>
    <x v="0"/>
    <n v="37"/>
    <n v="19573.28"/>
    <x v="33"/>
  </r>
  <r>
    <x v="34"/>
    <x v="9"/>
    <x v="3"/>
    <x v="3"/>
    <n v="33"/>
    <n v="23148.89"/>
    <x v="34"/>
  </r>
  <r>
    <x v="35"/>
    <x v="1"/>
    <x v="0"/>
    <x v="0"/>
    <n v="23"/>
    <n v="31352.639999999999"/>
    <x v="35"/>
  </r>
  <r>
    <x v="36"/>
    <x v="1"/>
    <x v="0"/>
    <x v="0"/>
    <n v="7"/>
    <n v="16810.62"/>
    <x v="36"/>
  </r>
  <r>
    <x v="37"/>
    <x v="2"/>
    <x v="2"/>
    <x v="0"/>
    <n v="4"/>
    <n v="4565.04"/>
    <x v="37"/>
  </r>
  <r>
    <x v="38"/>
    <x v="7"/>
    <x v="1"/>
    <x v="2"/>
    <n v="17"/>
    <n v="29414.36"/>
    <x v="38"/>
  </r>
  <r>
    <x v="39"/>
    <x v="7"/>
    <x v="2"/>
    <x v="1"/>
    <n v="26"/>
    <n v="41633.019999999997"/>
    <x v="39"/>
  </r>
  <r>
    <x v="40"/>
    <x v="8"/>
    <x v="2"/>
    <x v="3"/>
    <n v="15"/>
    <n v="15509.08"/>
    <x v="40"/>
  </r>
  <r>
    <x v="41"/>
    <x v="8"/>
    <x v="2"/>
    <x v="1"/>
    <n v="9"/>
    <n v="17725.75"/>
    <x v="41"/>
  </r>
  <r>
    <x v="42"/>
    <x v="2"/>
    <x v="3"/>
    <x v="1"/>
    <n v="43"/>
    <n v="28038.59"/>
    <x v="42"/>
  </r>
  <r>
    <x v="43"/>
    <x v="5"/>
    <x v="1"/>
    <x v="1"/>
    <n v="32"/>
    <n v="43129.5"/>
    <x v="43"/>
  </r>
  <r>
    <x v="44"/>
    <x v="0"/>
    <x v="3"/>
    <x v="3"/>
    <n v="36"/>
    <n v="30982.400000000001"/>
    <x v="44"/>
  </r>
  <r>
    <x v="45"/>
    <x v="4"/>
    <x v="3"/>
    <x v="2"/>
    <n v="43"/>
    <n v="3507.27"/>
    <x v="45"/>
  </r>
  <r>
    <x v="46"/>
    <x v="5"/>
    <x v="0"/>
    <x v="1"/>
    <n v="38"/>
    <n v="32601.53"/>
    <x v="46"/>
  </r>
  <r>
    <x v="47"/>
    <x v="8"/>
    <x v="2"/>
    <x v="0"/>
    <n v="37"/>
    <n v="44073.91"/>
    <x v="47"/>
  </r>
  <r>
    <x v="48"/>
    <x v="4"/>
    <x v="2"/>
    <x v="0"/>
    <n v="2"/>
    <n v="16134.68"/>
    <x v="48"/>
  </r>
  <r>
    <x v="49"/>
    <x v="8"/>
    <x v="3"/>
    <x v="0"/>
    <n v="31"/>
    <n v="25097.95"/>
    <x v="49"/>
  </r>
  <r>
    <x v="50"/>
    <x v="3"/>
    <x v="2"/>
    <x v="1"/>
    <n v="15"/>
    <n v="32873.64"/>
    <x v="50"/>
  </r>
  <r>
    <x v="51"/>
    <x v="9"/>
    <x v="3"/>
    <x v="2"/>
    <n v="4"/>
    <n v="9191.16"/>
    <x v="51"/>
  </r>
  <r>
    <x v="52"/>
    <x v="7"/>
    <x v="0"/>
    <x v="0"/>
    <n v="50"/>
    <n v="14201.08"/>
    <x v="52"/>
  </r>
  <r>
    <x v="53"/>
    <x v="7"/>
    <x v="1"/>
    <x v="0"/>
    <n v="40"/>
    <n v="28422.41"/>
    <x v="53"/>
  </r>
  <r>
    <x v="54"/>
    <x v="5"/>
    <x v="1"/>
    <x v="2"/>
    <n v="40"/>
    <n v="39401.46"/>
    <x v="54"/>
  </r>
  <r>
    <x v="55"/>
    <x v="2"/>
    <x v="3"/>
    <x v="0"/>
    <n v="33"/>
    <n v="44380.18"/>
    <x v="55"/>
  </r>
  <r>
    <x v="56"/>
    <x v="1"/>
    <x v="1"/>
    <x v="3"/>
    <n v="1"/>
    <n v="25488.67"/>
    <x v="56"/>
  </r>
  <r>
    <x v="57"/>
    <x v="3"/>
    <x v="2"/>
    <x v="3"/>
    <n v="50"/>
    <n v="15776.29"/>
    <x v="57"/>
  </r>
  <r>
    <x v="58"/>
    <x v="2"/>
    <x v="0"/>
    <x v="2"/>
    <n v="15"/>
    <n v="38830.620000000003"/>
    <x v="58"/>
  </r>
  <r>
    <x v="59"/>
    <x v="6"/>
    <x v="3"/>
    <x v="3"/>
    <n v="28"/>
    <n v="42573.96"/>
    <x v="59"/>
  </r>
  <r>
    <x v="60"/>
    <x v="6"/>
    <x v="3"/>
    <x v="2"/>
    <n v="38"/>
    <n v="3050.73"/>
    <x v="60"/>
  </r>
  <r>
    <x v="61"/>
    <x v="6"/>
    <x v="1"/>
    <x v="3"/>
    <n v="11"/>
    <n v="39656.33"/>
    <x v="61"/>
  </r>
  <r>
    <x v="62"/>
    <x v="0"/>
    <x v="3"/>
    <x v="1"/>
    <n v="15"/>
    <n v="23408.29"/>
    <x v="62"/>
  </r>
  <r>
    <x v="63"/>
    <x v="1"/>
    <x v="1"/>
    <x v="1"/>
    <n v="1"/>
    <n v="36060.230000000003"/>
    <x v="63"/>
  </r>
  <r>
    <x v="64"/>
    <x v="6"/>
    <x v="0"/>
    <x v="1"/>
    <n v="11"/>
    <n v="42732.61"/>
    <x v="64"/>
  </r>
  <r>
    <x v="65"/>
    <x v="8"/>
    <x v="2"/>
    <x v="0"/>
    <n v="35"/>
    <n v="1695.49"/>
    <x v="65"/>
  </r>
  <r>
    <x v="66"/>
    <x v="4"/>
    <x v="2"/>
    <x v="3"/>
    <n v="20"/>
    <n v="26251.200000000001"/>
    <x v="66"/>
  </r>
  <r>
    <x v="67"/>
    <x v="2"/>
    <x v="1"/>
    <x v="2"/>
    <n v="23"/>
    <n v="39307.54"/>
    <x v="67"/>
  </r>
  <r>
    <x v="68"/>
    <x v="8"/>
    <x v="3"/>
    <x v="1"/>
    <n v="5"/>
    <n v="5293.11"/>
    <x v="68"/>
  </r>
  <r>
    <x v="69"/>
    <x v="8"/>
    <x v="2"/>
    <x v="1"/>
    <n v="40"/>
    <n v="34665.67"/>
    <x v="69"/>
  </r>
  <r>
    <x v="70"/>
    <x v="8"/>
    <x v="0"/>
    <x v="0"/>
    <n v="20"/>
    <n v="21611.87"/>
    <x v="70"/>
  </r>
  <r>
    <x v="71"/>
    <x v="8"/>
    <x v="0"/>
    <x v="1"/>
    <n v="43"/>
    <n v="16880.419999999998"/>
    <x v="71"/>
  </r>
  <r>
    <x v="72"/>
    <x v="3"/>
    <x v="1"/>
    <x v="0"/>
    <n v="47"/>
    <n v="5721.55"/>
    <x v="72"/>
  </r>
  <r>
    <x v="73"/>
    <x v="1"/>
    <x v="2"/>
    <x v="2"/>
    <n v="32"/>
    <n v="8467.4599999999991"/>
    <x v="73"/>
  </r>
  <r>
    <x v="74"/>
    <x v="5"/>
    <x v="0"/>
    <x v="1"/>
    <n v="33"/>
    <n v="45938.38"/>
    <x v="74"/>
  </r>
  <r>
    <x v="75"/>
    <x v="8"/>
    <x v="0"/>
    <x v="0"/>
    <n v="21"/>
    <n v="35273.839999999997"/>
    <x v="75"/>
  </r>
  <r>
    <x v="76"/>
    <x v="7"/>
    <x v="0"/>
    <x v="3"/>
    <n v="42"/>
    <n v="32274.65"/>
    <x v="76"/>
  </r>
  <r>
    <x v="77"/>
    <x v="9"/>
    <x v="0"/>
    <x v="2"/>
    <n v="12"/>
    <n v="29889.18"/>
    <x v="77"/>
  </r>
  <r>
    <x v="78"/>
    <x v="9"/>
    <x v="0"/>
    <x v="1"/>
    <n v="11"/>
    <n v="39462.019999999997"/>
    <x v="78"/>
  </r>
  <r>
    <x v="79"/>
    <x v="5"/>
    <x v="2"/>
    <x v="1"/>
    <n v="40"/>
    <n v="15127.21"/>
    <x v="79"/>
  </r>
  <r>
    <x v="80"/>
    <x v="6"/>
    <x v="1"/>
    <x v="2"/>
    <n v="17"/>
    <n v="49088.81"/>
    <x v="80"/>
  </r>
  <r>
    <x v="81"/>
    <x v="4"/>
    <x v="3"/>
    <x v="1"/>
    <n v="47"/>
    <n v="22082.22"/>
    <x v="81"/>
  </r>
  <r>
    <x v="82"/>
    <x v="0"/>
    <x v="3"/>
    <x v="3"/>
    <n v="9"/>
    <n v="27965.18"/>
    <x v="82"/>
  </r>
  <r>
    <x v="83"/>
    <x v="2"/>
    <x v="0"/>
    <x v="3"/>
    <n v="45"/>
    <n v="1113.44"/>
    <x v="83"/>
  </r>
  <r>
    <x v="84"/>
    <x v="3"/>
    <x v="2"/>
    <x v="3"/>
    <n v="37"/>
    <n v="27897.73"/>
    <x v="84"/>
  </r>
  <r>
    <x v="85"/>
    <x v="9"/>
    <x v="2"/>
    <x v="2"/>
    <n v="20"/>
    <n v="17427.310000000001"/>
    <x v="85"/>
  </r>
  <r>
    <x v="86"/>
    <x v="7"/>
    <x v="0"/>
    <x v="0"/>
    <n v="15"/>
    <n v="2487.38"/>
    <x v="86"/>
  </r>
  <r>
    <x v="87"/>
    <x v="4"/>
    <x v="2"/>
    <x v="2"/>
    <n v="39"/>
    <n v="23409.09"/>
    <x v="87"/>
  </r>
  <r>
    <x v="88"/>
    <x v="2"/>
    <x v="1"/>
    <x v="3"/>
    <n v="40"/>
    <n v="44496"/>
    <x v="88"/>
  </r>
  <r>
    <x v="89"/>
    <x v="8"/>
    <x v="3"/>
    <x v="0"/>
    <n v="14"/>
    <n v="16694.43"/>
    <x v="89"/>
  </r>
  <r>
    <x v="90"/>
    <x v="2"/>
    <x v="1"/>
    <x v="0"/>
    <n v="50"/>
    <n v="28083.38"/>
    <x v="90"/>
  </r>
  <r>
    <x v="91"/>
    <x v="7"/>
    <x v="3"/>
    <x v="0"/>
    <n v="44"/>
    <n v="20039.66"/>
    <x v="91"/>
  </r>
  <r>
    <x v="92"/>
    <x v="6"/>
    <x v="0"/>
    <x v="0"/>
    <n v="21"/>
    <n v="23129.09"/>
    <x v="92"/>
  </r>
  <r>
    <x v="93"/>
    <x v="9"/>
    <x v="2"/>
    <x v="1"/>
    <n v="50"/>
    <n v="10719.41"/>
    <x v="93"/>
  </r>
  <r>
    <x v="94"/>
    <x v="1"/>
    <x v="0"/>
    <x v="2"/>
    <n v="38"/>
    <n v="18234.759999999998"/>
    <x v="94"/>
  </r>
  <r>
    <x v="95"/>
    <x v="7"/>
    <x v="3"/>
    <x v="1"/>
    <n v="22"/>
    <n v="36221.279999999999"/>
    <x v="95"/>
  </r>
  <r>
    <x v="96"/>
    <x v="5"/>
    <x v="1"/>
    <x v="1"/>
    <n v="7"/>
    <n v="49678.09"/>
    <x v="96"/>
  </r>
  <r>
    <x v="97"/>
    <x v="2"/>
    <x v="3"/>
    <x v="0"/>
    <n v="38"/>
    <n v="8548.16"/>
    <x v="97"/>
  </r>
  <r>
    <x v="98"/>
    <x v="4"/>
    <x v="2"/>
    <x v="0"/>
    <n v="28"/>
    <n v="5522.01"/>
    <x v="98"/>
  </r>
  <r>
    <x v="99"/>
    <x v="4"/>
    <x v="2"/>
    <x v="0"/>
    <n v="1"/>
    <n v="18614.21"/>
    <x v="99"/>
  </r>
</pivotCacheRecords>
</file>

<file path=xl/pivotCache/pivotCacheRecords3.xml><?xml version="1.0" encoding="utf-8"?>
<pivotCacheRecords xmlns="http://schemas.openxmlformats.org/spreadsheetml/2006/main" xmlns:r="http://schemas.openxmlformats.org/officeDocument/2006/relationships" count="12">
  <r>
    <x v="0"/>
    <n v="3500"/>
  </r>
  <r>
    <x v="1"/>
    <n v="4200"/>
  </r>
  <r>
    <x v="2"/>
    <n v="5000"/>
  </r>
  <r>
    <x v="3"/>
    <n v="4800"/>
  </r>
  <r>
    <x v="4"/>
    <n v="6200"/>
  </r>
  <r>
    <x v="5"/>
    <n v="7000"/>
  </r>
  <r>
    <x v="6"/>
    <n v="6500"/>
  </r>
  <r>
    <x v="7"/>
    <n v="5800"/>
  </r>
  <r>
    <x v="8"/>
    <n v="6000"/>
  </r>
  <r>
    <x v="9"/>
    <n v="6700"/>
  </r>
  <r>
    <x v="10"/>
    <n v="7500"/>
  </r>
  <r>
    <x v="11"/>
    <n v="820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location ref="F3:G10" firstHeaderRow="1" firstDataRow="1" firstDataCol="1" rowPageCount="1" colPageCount="1"/>
  <pivotFields count="3">
    <pivotField axis="axisRow" showAll="0">
      <items count="8">
        <item x="0"/>
        <item x="1"/>
        <item x="5"/>
        <item x="2"/>
        <item x="4"/>
        <item x="6"/>
        <item x="3"/>
        <item t="default"/>
      </items>
    </pivotField>
    <pivotField axis="axisPage" multipleItemSelectionAllowed="1" showAll="0">
      <items count="8">
        <item x="1"/>
        <item x="2"/>
        <item h="1" x="6"/>
        <item x="5"/>
        <item h="1" x="4"/>
        <item h="1" x="3"/>
        <item h="1" x="0"/>
        <item t="default"/>
      </items>
    </pivotField>
    <pivotField dataField="1" showAll="0">
      <items count="20">
        <item x="12"/>
        <item x="1"/>
        <item x="13"/>
        <item x="10"/>
        <item x="9"/>
        <item x="5"/>
        <item x="3"/>
        <item x="8"/>
        <item x="17"/>
        <item x="4"/>
        <item x="15"/>
        <item x="11"/>
        <item x="18"/>
        <item x="16"/>
        <item x="7"/>
        <item x="6"/>
        <item x="14"/>
        <item x="0"/>
        <item x="2"/>
        <item t="default"/>
      </items>
    </pivotField>
  </pivotFields>
  <rowFields count="1">
    <field x="0"/>
  </rowFields>
  <rowItems count="7">
    <i>
      <x/>
    </i>
    <i>
      <x v="1"/>
    </i>
    <i>
      <x v="2"/>
    </i>
    <i>
      <x v="3"/>
    </i>
    <i>
      <x v="5"/>
    </i>
    <i>
      <x v="6"/>
    </i>
    <i t="grand">
      <x/>
    </i>
  </rowItems>
  <colItems count="1">
    <i/>
  </colItems>
  <pageFields count="1">
    <pageField fld="1" hier="-1"/>
  </pageFields>
  <dataFields count="1">
    <dataField name="Sum of Sales" fld="2" baseField="0" baseItem="5"/>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0"/>
          </reference>
        </references>
      </pivotArea>
    </chartFormat>
    <chartFormat chart="0" format="2">
      <pivotArea type="data" outline="0" fieldPosition="0">
        <references count="2">
          <reference field="4294967294" count="1" selected="0">
            <x v="0"/>
          </reference>
          <reference field="0" count="1" selected="0">
            <x v="1"/>
          </reference>
        </references>
      </pivotArea>
    </chartFormat>
    <chartFormat chart="0" format="3">
      <pivotArea type="data" outline="0" fieldPosition="0">
        <references count="2">
          <reference field="4294967294" count="1" selected="0">
            <x v="0"/>
          </reference>
          <reference field="0" count="1" selected="0">
            <x v="2"/>
          </reference>
        </references>
      </pivotArea>
    </chartFormat>
    <chartFormat chart="0" format="4">
      <pivotArea type="data" outline="0" fieldPosition="0">
        <references count="2">
          <reference field="4294967294" count="1" selected="0">
            <x v="0"/>
          </reference>
          <reference field="0" count="1" selected="0">
            <x v="3"/>
          </reference>
        </references>
      </pivotArea>
    </chartFormat>
    <chartFormat chart="0" format="5">
      <pivotArea type="data" outline="0" fieldPosition="0">
        <references count="2">
          <reference field="4294967294" count="1" selected="0">
            <x v="0"/>
          </reference>
          <reference field="0" count="1" selected="0">
            <x v="5"/>
          </reference>
        </references>
      </pivotArea>
    </chartFormat>
    <chartFormat chart="0" format="6">
      <pivotArea type="data" outline="0" fieldPosition="0">
        <references count="2">
          <reference field="4294967294" count="1" selected="0">
            <x v="0"/>
          </reference>
          <reference field="0" count="1" selected="0">
            <x v="6"/>
          </reference>
        </references>
      </pivotArea>
    </chartFormat>
  </chartFormats>
  <pivotTableStyleInfo name="PivotStyleLight2"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0" applyNumberFormats="0" applyBorderFormats="0" applyFontFormats="0" applyPatternFormats="0" applyAlignmentFormats="0" applyWidthHeightFormats="1" dataCaption="Values" updatedVersion="5" minRefreshableVersion="3" showDrill="0" useAutoFormatting="1" itemPrintTitles="1" createdVersion="5" indent="0" compact="0" compactData="0" multipleFieldFilters="0">
  <location ref="I3:K21" firstHeaderRow="1" firstDataRow="1" firstDataCol="2"/>
  <pivotFields count="3">
    <pivotField axis="axisRow" compact="0" outline="0" showAll="0" defaultSubtotal="0">
      <items count="7">
        <item x="0"/>
        <item x="1"/>
        <item x="5"/>
        <item x="2"/>
        <item x="4"/>
        <item x="6"/>
        <item x="3"/>
      </items>
    </pivotField>
    <pivotField axis="axisRow" compact="0" outline="0" showAll="0" defaultSubtotal="0">
      <items count="7">
        <item x="1"/>
        <item x="2"/>
        <item x="6"/>
        <item x="5"/>
        <item x="4"/>
        <item x="3"/>
        <item x="0"/>
      </items>
    </pivotField>
    <pivotField dataField="1" compact="0" outline="0" showAll="0" defaultSubtotal="0">
      <items count="19">
        <item x="12"/>
        <item x="1"/>
        <item x="13"/>
        <item x="10"/>
        <item x="9"/>
        <item x="5"/>
        <item x="3"/>
        <item x="8"/>
        <item x="17"/>
        <item x="4"/>
        <item x="15"/>
        <item x="11"/>
        <item x="18"/>
        <item x="16"/>
        <item x="7"/>
        <item x="6"/>
        <item x="14"/>
        <item x="0"/>
        <item x="2"/>
      </items>
    </pivotField>
  </pivotFields>
  <rowFields count="2">
    <field x="1"/>
    <field x="0"/>
  </rowFields>
  <rowItems count="18">
    <i>
      <x/>
      <x/>
    </i>
    <i r="1">
      <x v="1"/>
    </i>
    <i>
      <x v="1"/>
      <x/>
    </i>
    <i r="1">
      <x v="2"/>
    </i>
    <i r="1">
      <x v="3"/>
    </i>
    <i r="1">
      <x v="5"/>
    </i>
    <i r="1">
      <x v="6"/>
    </i>
    <i>
      <x v="2"/>
      <x v="1"/>
    </i>
    <i r="1">
      <x v="5"/>
    </i>
    <i>
      <x v="3"/>
      <x v="1"/>
    </i>
    <i r="1">
      <x v="3"/>
    </i>
    <i>
      <x v="4"/>
      <x/>
    </i>
    <i>
      <x v="5"/>
      <x v="4"/>
    </i>
    <i>
      <x v="6"/>
      <x/>
    </i>
    <i r="1">
      <x v="3"/>
    </i>
    <i r="1">
      <x v="4"/>
    </i>
    <i r="1">
      <x v="5"/>
    </i>
    <i t="grand">
      <x/>
    </i>
  </rowItems>
  <colItems count="1">
    <i/>
  </colItems>
  <dataFields count="1">
    <dataField name="Sum of Sales"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3">
  <location ref="A3:G9" firstHeaderRow="1" firstDataRow="2" firstDataCol="2"/>
  <pivotFields count="7">
    <pivotField name="date" axis="axisRow" compact="0" numFmtId="22" outline="0" showAll="0">
      <items count="15">
        <item x="0"/>
        <item x="1"/>
        <item x="2"/>
        <item x="3"/>
        <item x="4"/>
        <item x="5"/>
        <item x="6"/>
        <item x="7"/>
        <item x="8"/>
        <item x="9"/>
        <item x="10"/>
        <item x="11"/>
        <item x="12"/>
        <item x="13"/>
        <item t="default"/>
      </items>
    </pivotField>
    <pivotField compact="0" outline="0" showAll="0"/>
    <pivotField axis="axisCol" compact="0" outline="0" showAll="0">
      <items count="5">
        <item x="0"/>
        <item x="3"/>
        <item x="2"/>
        <item x="1"/>
        <item t="default"/>
      </items>
    </pivotField>
    <pivotField axis="axisRow" compact="0" outline="0" showAll="0">
      <items count="5">
        <item sd="0" x="0"/>
        <item sd="0" x="1"/>
        <item sd="0" x="3"/>
        <item sd="0" x="2"/>
        <item t="default"/>
      </items>
    </pivotField>
    <pivotField compact="0" outline="0" showAll="0"/>
    <pivotField dataField="1" compact="0" outline="0" showAll="0"/>
    <pivotField compact="0" outline="0" showAll="0"/>
  </pivotFields>
  <rowFields count="2">
    <field x="3"/>
    <field x="0"/>
  </rowFields>
  <rowItems count="5">
    <i>
      <x/>
    </i>
    <i>
      <x v="1"/>
    </i>
    <i>
      <x v="2"/>
    </i>
    <i>
      <x v="3"/>
    </i>
    <i t="grand">
      <x/>
    </i>
  </rowItems>
  <colFields count="1">
    <field x="2"/>
  </colFields>
  <colItems count="5">
    <i>
      <x/>
    </i>
    <i>
      <x v="1"/>
    </i>
    <i>
      <x v="2"/>
    </i>
    <i>
      <x v="3"/>
    </i>
    <i t="grand">
      <x/>
    </i>
  </colItems>
  <dataFields count="1">
    <dataField name="Sum of Revenue" fld="5" baseField="0" baseItem="0"/>
  </dataFields>
  <chartFormats count="4">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PivotTable5"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7">
  <location ref="A36:F42" firstHeaderRow="1" firstDataRow="2" firstDataCol="1"/>
  <pivotFields count="7">
    <pivotField compact="0" numFmtId="22" outline="0" showAll="0"/>
    <pivotField compact="0" outline="0" showAll="0"/>
    <pivotField axis="axisCol" compact="0" outline="0" multipleItemSelectionAllowed="1" showAll="0">
      <items count="5">
        <item x="0"/>
        <item x="3"/>
        <item x="2"/>
        <item x="1"/>
        <item t="default"/>
      </items>
    </pivotField>
    <pivotField axis="axisRow" compact="0" outline="0" showAll="0">
      <items count="5">
        <item x="0"/>
        <item x="1"/>
        <item x="3"/>
        <item x="2"/>
        <item t="default"/>
      </items>
    </pivotField>
    <pivotField compact="0" outline="0" showAll="0"/>
    <pivotField dataField="1" compact="0" outline="0" showAll="0"/>
    <pivotField compact="0" outline="0" showAll="0">
      <items count="101">
        <item h="1" x="94"/>
        <item x="13"/>
        <item h="1" x="69"/>
        <item h="1" x="54"/>
        <item h="1" x="40"/>
        <item h="1" x="61"/>
        <item h="1" x="65"/>
        <item h="1" x="70"/>
        <item h="1" x="17"/>
        <item h="1" x="92"/>
        <item h="1" x="30"/>
        <item h="1" x="83"/>
        <item h="1" x="36"/>
        <item h="1" x="64"/>
        <item h="1" x="0"/>
        <item h="1" x="4"/>
        <item h="1" x="6"/>
        <item h="1" x="57"/>
        <item h="1" x="38"/>
        <item h="1" x="21"/>
        <item h="1" x="35"/>
        <item h="1" x="26"/>
        <item h="1" x="48"/>
        <item h="1" x="89"/>
        <item h="1" x="14"/>
        <item h="1" x="75"/>
        <item h="1" x="84"/>
        <item h="1" x="76"/>
        <item h="1" x="50"/>
        <item h="1" x="22"/>
        <item h="1" x="85"/>
        <item h="1" x="90"/>
        <item h="1" x="9"/>
        <item h="1" x="62"/>
        <item h="1" x="91"/>
        <item h="1" x="67"/>
        <item h="1" x="15"/>
        <item h="1" x="33"/>
        <item h="1" x="41"/>
        <item h="1" x="39"/>
        <item h="1" x="77"/>
        <item h="1" x="44"/>
        <item h="1" x="56"/>
        <item h="1" x="81"/>
        <item h="1" x="74"/>
        <item h="1" x="51"/>
        <item h="1" x="32"/>
        <item h="1" x="16"/>
        <item h="1" x="86"/>
        <item h="1" x="43"/>
        <item h="1" x="23"/>
        <item h="1" x="5"/>
        <item h="1" x="59"/>
        <item h="1" x="7"/>
        <item h="1" x="60"/>
        <item h="1" x="52"/>
        <item h="1" x="95"/>
        <item h="1" x="71"/>
        <item h="1" x="46"/>
        <item h="1" x="1"/>
        <item h="1" x="66"/>
        <item h="1" x="45"/>
        <item h="1" x="31"/>
        <item h="1" x="79"/>
        <item h="1" x="80"/>
        <item h="1" x="99"/>
        <item h="1" x="49"/>
        <item h="1" x="73"/>
        <item h="1" x="37"/>
        <item h="1" x="63"/>
        <item h="1" x="25"/>
        <item h="1" x="58"/>
        <item h="1" x="28"/>
        <item h="1" x="78"/>
        <item h="1" x="19"/>
        <item h="1" x="93"/>
        <item h="1" x="18"/>
        <item h="1" x="87"/>
        <item h="1" x="29"/>
        <item h="1" x="27"/>
        <item h="1" x="98"/>
        <item h="1" x="3"/>
        <item h="1" x="53"/>
        <item h="1" x="11"/>
        <item h="1" x="20"/>
        <item h="1" x="12"/>
        <item h="1" x="68"/>
        <item h="1" x="72"/>
        <item h="1" x="34"/>
        <item h="1" x="42"/>
        <item h="1" x="97"/>
        <item h="1" x="8"/>
        <item h="1" x="82"/>
        <item h="1" x="55"/>
        <item h="1" x="2"/>
        <item h="1" x="88"/>
        <item h="1" x="47"/>
        <item h="1" x="24"/>
        <item h="1" x="96"/>
        <item h="1" x="10"/>
        <item t="default"/>
      </items>
    </pivotField>
  </pivotFields>
  <rowFields count="1">
    <field x="3"/>
  </rowFields>
  <rowItems count="5">
    <i>
      <x/>
    </i>
    <i>
      <x v="1"/>
    </i>
    <i>
      <x v="2"/>
    </i>
    <i>
      <x v="3"/>
    </i>
    <i t="grand">
      <x/>
    </i>
  </rowItems>
  <colFields count="1">
    <field x="2"/>
  </colFields>
  <colItems count="5">
    <i>
      <x/>
    </i>
    <i>
      <x v="1"/>
    </i>
    <i>
      <x v="2"/>
    </i>
    <i>
      <x v="3"/>
    </i>
    <i t="grand">
      <x/>
    </i>
  </colItems>
  <dataFields count="1">
    <dataField name="Sum of Revenue" fld="5" baseField="0" baseItem="0"/>
  </dataFields>
  <chartFormats count="40">
    <chartFormat chart="0" format="0" series="1">
      <pivotArea type="data" outline="0" fieldPosition="0">
        <references count="2">
          <reference field="4294967294" count="1" selected="0">
            <x v="0"/>
          </reference>
          <reference field="2" count="1" selected="0">
            <x v="0"/>
          </reference>
        </references>
      </pivotArea>
    </chartFormat>
    <chartFormat chart="0" format="1" series="1">
      <pivotArea type="data" outline="0" fieldPosition="0">
        <references count="2">
          <reference field="4294967294" count="1" selected="0">
            <x v="0"/>
          </reference>
          <reference field="2" count="1" selected="0">
            <x v="1"/>
          </reference>
        </references>
      </pivotArea>
    </chartFormat>
    <chartFormat chart="0" format="2" series="1">
      <pivotArea type="data" outline="0" fieldPosition="0">
        <references count="2">
          <reference field="4294967294" count="1" selected="0">
            <x v="0"/>
          </reference>
          <reference field="2" count="1" selected="0">
            <x v="2"/>
          </reference>
        </references>
      </pivotArea>
    </chartFormat>
    <chartFormat chart="0" format="3" series="1">
      <pivotArea type="data" outline="0" fieldPosition="0">
        <references count="2">
          <reference field="4294967294" count="1" selected="0">
            <x v="0"/>
          </reference>
          <reference field="2" count="1" selected="0">
            <x v="3"/>
          </reference>
        </references>
      </pivotArea>
    </chartFormat>
    <chartFormat chart="4" format="24" series="1">
      <pivotArea type="data" outline="0" fieldPosition="0">
        <references count="2">
          <reference field="4294967294" count="1" selected="0">
            <x v="0"/>
          </reference>
          <reference field="2" count="1" selected="0">
            <x v="0"/>
          </reference>
        </references>
      </pivotArea>
    </chartFormat>
    <chartFormat chart="4" format="25">
      <pivotArea type="data" outline="0" fieldPosition="0">
        <references count="3">
          <reference field="4294967294" count="1" selected="0">
            <x v="0"/>
          </reference>
          <reference field="2" count="1" selected="0">
            <x v="0"/>
          </reference>
          <reference field="3" count="1" selected="0">
            <x v="0"/>
          </reference>
        </references>
      </pivotArea>
    </chartFormat>
    <chartFormat chart="4" format="26">
      <pivotArea type="data" outline="0" fieldPosition="0">
        <references count="3">
          <reference field="4294967294" count="1" selected="0">
            <x v="0"/>
          </reference>
          <reference field="2" count="1" selected="0">
            <x v="0"/>
          </reference>
          <reference field="3" count="1" selected="0">
            <x v="1"/>
          </reference>
        </references>
      </pivotArea>
    </chartFormat>
    <chartFormat chart="4" format="27">
      <pivotArea type="data" outline="0" fieldPosition="0">
        <references count="3">
          <reference field="4294967294" count="1" selected="0">
            <x v="0"/>
          </reference>
          <reference field="2" count="1" selected="0">
            <x v="0"/>
          </reference>
          <reference field="3" count="1" selected="0">
            <x v="2"/>
          </reference>
        </references>
      </pivotArea>
    </chartFormat>
    <chartFormat chart="4" format="28">
      <pivotArea type="data" outline="0" fieldPosition="0">
        <references count="3">
          <reference field="4294967294" count="1" selected="0">
            <x v="0"/>
          </reference>
          <reference field="2" count="1" selected="0">
            <x v="0"/>
          </reference>
          <reference field="3" count="1" selected="0">
            <x v="3"/>
          </reference>
        </references>
      </pivotArea>
    </chartFormat>
    <chartFormat chart="4" format="29" series="1">
      <pivotArea type="data" outline="0" fieldPosition="0">
        <references count="2">
          <reference field="4294967294" count="1" selected="0">
            <x v="0"/>
          </reference>
          <reference field="2" count="1" selected="0">
            <x v="1"/>
          </reference>
        </references>
      </pivotArea>
    </chartFormat>
    <chartFormat chart="4" format="30">
      <pivotArea type="data" outline="0" fieldPosition="0">
        <references count="3">
          <reference field="4294967294" count="1" selected="0">
            <x v="0"/>
          </reference>
          <reference field="2" count="1" selected="0">
            <x v="1"/>
          </reference>
          <reference field="3" count="1" selected="0">
            <x v="0"/>
          </reference>
        </references>
      </pivotArea>
    </chartFormat>
    <chartFormat chart="4" format="31">
      <pivotArea type="data" outline="0" fieldPosition="0">
        <references count="3">
          <reference field="4294967294" count="1" selected="0">
            <x v="0"/>
          </reference>
          <reference field="2" count="1" selected="0">
            <x v="1"/>
          </reference>
          <reference field="3" count="1" selected="0">
            <x v="1"/>
          </reference>
        </references>
      </pivotArea>
    </chartFormat>
    <chartFormat chart="4" format="32">
      <pivotArea type="data" outline="0" fieldPosition="0">
        <references count="3">
          <reference field="4294967294" count="1" selected="0">
            <x v="0"/>
          </reference>
          <reference field="2" count="1" selected="0">
            <x v="1"/>
          </reference>
          <reference field="3" count="1" selected="0">
            <x v="2"/>
          </reference>
        </references>
      </pivotArea>
    </chartFormat>
    <chartFormat chart="4" format="33">
      <pivotArea type="data" outline="0" fieldPosition="0">
        <references count="3">
          <reference field="4294967294" count="1" selected="0">
            <x v="0"/>
          </reference>
          <reference field="2" count="1" selected="0">
            <x v="1"/>
          </reference>
          <reference field="3" count="1" selected="0">
            <x v="3"/>
          </reference>
        </references>
      </pivotArea>
    </chartFormat>
    <chartFormat chart="4" format="34" series="1">
      <pivotArea type="data" outline="0" fieldPosition="0">
        <references count="2">
          <reference field="4294967294" count="1" selected="0">
            <x v="0"/>
          </reference>
          <reference field="2" count="1" selected="0">
            <x v="2"/>
          </reference>
        </references>
      </pivotArea>
    </chartFormat>
    <chartFormat chart="4" format="35">
      <pivotArea type="data" outline="0" fieldPosition="0">
        <references count="3">
          <reference field="4294967294" count="1" selected="0">
            <x v="0"/>
          </reference>
          <reference field="2" count="1" selected="0">
            <x v="2"/>
          </reference>
          <reference field="3" count="1" selected="0">
            <x v="0"/>
          </reference>
        </references>
      </pivotArea>
    </chartFormat>
    <chartFormat chart="4" format="36">
      <pivotArea type="data" outline="0" fieldPosition="0">
        <references count="3">
          <reference field="4294967294" count="1" selected="0">
            <x v="0"/>
          </reference>
          <reference field="2" count="1" selected="0">
            <x v="2"/>
          </reference>
          <reference field="3" count="1" selected="0">
            <x v="1"/>
          </reference>
        </references>
      </pivotArea>
    </chartFormat>
    <chartFormat chart="4" format="37">
      <pivotArea type="data" outline="0" fieldPosition="0">
        <references count="3">
          <reference field="4294967294" count="1" selected="0">
            <x v="0"/>
          </reference>
          <reference field="2" count="1" selected="0">
            <x v="2"/>
          </reference>
          <reference field="3" count="1" selected="0">
            <x v="2"/>
          </reference>
        </references>
      </pivotArea>
    </chartFormat>
    <chartFormat chart="4" format="38">
      <pivotArea type="data" outline="0" fieldPosition="0">
        <references count="3">
          <reference field="4294967294" count="1" selected="0">
            <x v="0"/>
          </reference>
          <reference field="2" count="1" selected="0">
            <x v="2"/>
          </reference>
          <reference field="3" count="1" selected="0">
            <x v="3"/>
          </reference>
        </references>
      </pivotArea>
    </chartFormat>
    <chartFormat chart="4" format="39" series="1">
      <pivotArea type="data" outline="0" fieldPosition="0">
        <references count="2">
          <reference field="4294967294" count="1" selected="0">
            <x v="0"/>
          </reference>
          <reference field="2" count="1" selected="0">
            <x v="3"/>
          </reference>
        </references>
      </pivotArea>
    </chartFormat>
    <chartFormat chart="4" format="40">
      <pivotArea type="data" outline="0" fieldPosition="0">
        <references count="3">
          <reference field="4294967294" count="1" selected="0">
            <x v="0"/>
          </reference>
          <reference field="2" count="1" selected="0">
            <x v="3"/>
          </reference>
          <reference field="3" count="1" selected="0">
            <x v="0"/>
          </reference>
        </references>
      </pivotArea>
    </chartFormat>
    <chartFormat chart="4" format="41">
      <pivotArea type="data" outline="0" fieldPosition="0">
        <references count="3">
          <reference field="4294967294" count="1" selected="0">
            <x v="0"/>
          </reference>
          <reference field="2" count="1" selected="0">
            <x v="3"/>
          </reference>
          <reference field="3" count="1" selected="0">
            <x v="1"/>
          </reference>
        </references>
      </pivotArea>
    </chartFormat>
    <chartFormat chart="4" format="42">
      <pivotArea type="data" outline="0" fieldPosition="0">
        <references count="3">
          <reference field="4294967294" count="1" selected="0">
            <x v="0"/>
          </reference>
          <reference field="2" count="1" selected="0">
            <x v="3"/>
          </reference>
          <reference field="3" count="1" selected="0">
            <x v="2"/>
          </reference>
        </references>
      </pivotArea>
    </chartFormat>
    <chartFormat chart="4" format="43">
      <pivotArea type="data" outline="0" fieldPosition="0">
        <references count="3">
          <reference field="4294967294" count="1" selected="0">
            <x v="0"/>
          </reference>
          <reference field="2" count="1" selected="0">
            <x v="3"/>
          </reference>
          <reference field="3" count="1" selected="0">
            <x v="3"/>
          </reference>
        </references>
      </pivotArea>
    </chartFormat>
    <chartFormat chart="0" format="4">
      <pivotArea type="data" outline="0" fieldPosition="0">
        <references count="3">
          <reference field="4294967294" count="1" selected="0">
            <x v="0"/>
          </reference>
          <reference field="2" count="1" selected="0">
            <x v="0"/>
          </reference>
          <reference field="3" count="1" selected="0">
            <x v="0"/>
          </reference>
        </references>
      </pivotArea>
    </chartFormat>
    <chartFormat chart="0" format="5">
      <pivotArea type="data" outline="0" fieldPosition="0">
        <references count="3">
          <reference field="4294967294" count="1" selected="0">
            <x v="0"/>
          </reference>
          <reference field="2" count="1" selected="0">
            <x v="0"/>
          </reference>
          <reference field="3" count="1" selected="0">
            <x v="1"/>
          </reference>
        </references>
      </pivotArea>
    </chartFormat>
    <chartFormat chart="0" format="6">
      <pivotArea type="data" outline="0" fieldPosition="0">
        <references count="3">
          <reference field="4294967294" count="1" selected="0">
            <x v="0"/>
          </reference>
          <reference field="2" count="1" selected="0">
            <x v="0"/>
          </reference>
          <reference field="3" count="1" selected="0">
            <x v="2"/>
          </reference>
        </references>
      </pivotArea>
    </chartFormat>
    <chartFormat chart="0" format="7">
      <pivotArea type="data" outline="0" fieldPosition="0">
        <references count="3">
          <reference field="4294967294" count="1" selected="0">
            <x v="0"/>
          </reference>
          <reference field="2" count="1" selected="0">
            <x v="0"/>
          </reference>
          <reference field="3" count="1" selected="0">
            <x v="3"/>
          </reference>
        </references>
      </pivotArea>
    </chartFormat>
    <chartFormat chart="0" format="8">
      <pivotArea type="data" outline="0" fieldPosition="0">
        <references count="3">
          <reference field="4294967294" count="1" selected="0">
            <x v="0"/>
          </reference>
          <reference field="2" count="1" selected="0">
            <x v="1"/>
          </reference>
          <reference field="3" count="1" selected="0">
            <x v="0"/>
          </reference>
        </references>
      </pivotArea>
    </chartFormat>
    <chartFormat chart="0" format="9">
      <pivotArea type="data" outline="0" fieldPosition="0">
        <references count="3">
          <reference field="4294967294" count="1" selected="0">
            <x v="0"/>
          </reference>
          <reference field="2" count="1" selected="0">
            <x v="1"/>
          </reference>
          <reference field="3" count="1" selected="0">
            <x v="1"/>
          </reference>
        </references>
      </pivotArea>
    </chartFormat>
    <chartFormat chart="0" format="10">
      <pivotArea type="data" outline="0" fieldPosition="0">
        <references count="3">
          <reference field="4294967294" count="1" selected="0">
            <x v="0"/>
          </reference>
          <reference field="2" count="1" selected="0">
            <x v="1"/>
          </reference>
          <reference field="3" count="1" selected="0">
            <x v="2"/>
          </reference>
        </references>
      </pivotArea>
    </chartFormat>
    <chartFormat chart="0" format="11">
      <pivotArea type="data" outline="0" fieldPosition="0">
        <references count="3">
          <reference field="4294967294" count="1" selected="0">
            <x v="0"/>
          </reference>
          <reference field="2" count="1" selected="0">
            <x v="1"/>
          </reference>
          <reference field="3" count="1" selected="0">
            <x v="3"/>
          </reference>
        </references>
      </pivotArea>
    </chartFormat>
    <chartFormat chart="0" format="12">
      <pivotArea type="data" outline="0" fieldPosition="0">
        <references count="3">
          <reference field="4294967294" count="1" selected="0">
            <x v="0"/>
          </reference>
          <reference field="2" count="1" selected="0">
            <x v="2"/>
          </reference>
          <reference field="3" count="1" selected="0">
            <x v="0"/>
          </reference>
        </references>
      </pivotArea>
    </chartFormat>
    <chartFormat chart="0" format="13">
      <pivotArea type="data" outline="0" fieldPosition="0">
        <references count="3">
          <reference field="4294967294" count="1" selected="0">
            <x v="0"/>
          </reference>
          <reference field="2" count="1" selected="0">
            <x v="2"/>
          </reference>
          <reference field="3" count="1" selected="0">
            <x v="1"/>
          </reference>
        </references>
      </pivotArea>
    </chartFormat>
    <chartFormat chart="0" format="14">
      <pivotArea type="data" outline="0" fieldPosition="0">
        <references count="3">
          <reference field="4294967294" count="1" selected="0">
            <x v="0"/>
          </reference>
          <reference field="2" count="1" selected="0">
            <x v="2"/>
          </reference>
          <reference field="3" count="1" selected="0">
            <x v="2"/>
          </reference>
        </references>
      </pivotArea>
    </chartFormat>
    <chartFormat chart="0" format="15">
      <pivotArea type="data" outline="0" fieldPosition="0">
        <references count="3">
          <reference field="4294967294" count="1" selected="0">
            <x v="0"/>
          </reference>
          <reference field="2" count="1" selected="0">
            <x v="2"/>
          </reference>
          <reference field="3" count="1" selected="0">
            <x v="3"/>
          </reference>
        </references>
      </pivotArea>
    </chartFormat>
    <chartFormat chart="0" format="16">
      <pivotArea type="data" outline="0" fieldPosition="0">
        <references count="3">
          <reference field="4294967294" count="1" selected="0">
            <x v="0"/>
          </reference>
          <reference field="2" count="1" selected="0">
            <x v="3"/>
          </reference>
          <reference field="3" count="1" selected="0">
            <x v="0"/>
          </reference>
        </references>
      </pivotArea>
    </chartFormat>
    <chartFormat chart="0" format="17">
      <pivotArea type="data" outline="0" fieldPosition="0">
        <references count="3">
          <reference field="4294967294" count="1" selected="0">
            <x v="0"/>
          </reference>
          <reference field="2" count="1" selected="0">
            <x v="3"/>
          </reference>
          <reference field="3" count="1" selected="0">
            <x v="1"/>
          </reference>
        </references>
      </pivotArea>
    </chartFormat>
    <chartFormat chart="0" format="18">
      <pivotArea type="data" outline="0" fieldPosition="0">
        <references count="3">
          <reference field="4294967294" count="1" selected="0">
            <x v="0"/>
          </reference>
          <reference field="2" count="1" selected="0">
            <x v="3"/>
          </reference>
          <reference field="3" count="1" selected="0">
            <x v="2"/>
          </reference>
        </references>
      </pivotArea>
    </chartFormat>
    <chartFormat chart="0" format="19">
      <pivotArea type="data" outline="0" fieldPosition="0">
        <references count="3">
          <reference field="4294967294" count="1" selected="0">
            <x v="0"/>
          </reference>
          <reference field="2" count="1" selected="0">
            <x v="3"/>
          </reference>
          <reference field="3" count="1" selected="0">
            <x v="3"/>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PivotTable4" cacheId="1" applyNumberFormats="0" applyBorderFormats="0" applyFontFormats="0" applyPatternFormats="0" applyAlignmentFormats="0" applyWidthHeightFormats="1" dataCaption="Values" updatedVersion="5" minRefreshableVersion="3" showDrill="0" useAutoFormatting="1" itemPrintTitles="1" createdVersion="5" indent="0" compact="0" compactData="0" multipleFieldFilters="0">
  <location ref="A18:F30" firstHeaderRow="1" firstDataRow="2" firstDataCol="1"/>
  <pivotFields count="7">
    <pivotField compact="0" numFmtId="22" outline="0" showAll="0"/>
    <pivotField axis="axisRow" compact="0" outline="0" showAll="0">
      <items count="11">
        <item sd="0" x="3"/>
        <item sd="0" x="2"/>
        <item sd="0" x="0"/>
        <item x="7"/>
        <item x="1"/>
        <item x="9"/>
        <item x="6"/>
        <item x="4"/>
        <item x="5"/>
        <item x="8"/>
        <item t="default"/>
      </items>
    </pivotField>
    <pivotField compact="0" outline="0" showAll="0">
      <items count="5">
        <item x="0"/>
        <item x="3"/>
        <item x="2"/>
        <item x="1"/>
        <item t="default"/>
      </items>
    </pivotField>
    <pivotField axis="axisCol" compact="0" outline="0" showAll="0">
      <items count="5">
        <item x="0"/>
        <item x="1"/>
        <item x="3"/>
        <item x="2"/>
        <item t="default"/>
      </items>
    </pivotField>
    <pivotField dataField="1" compact="0" outline="0" showAll="0"/>
    <pivotField compact="0" outline="0" showAll="0"/>
    <pivotField compact="0" outline="0" showAll="0"/>
  </pivotFields>
  <rowFields count="1">
    <field x="1"/>
  </rowFields>
  <rowItems count="11">
    <i>
      <x/>
    </i>
    <i>
      <x v="1"/>
    </i>
    <i>
      <x v="2"/>
    </i>
    <i>
      <x v="3"/>
    </i>
    <i>
      <x v="4"/>
    </i>
    <i>
      <x v="5"/>
    </i>
    <i>
      <x v="6"/>
    </i>
    <i>
      <x v="7"/>
    </i>
    <i>
      <x v="8"/>
    </i>
    <i>
      <x v="9"/>
    </i>
    <i t="grand">
      <x/>
    </i>
  </rowItems>
  <colFields count="1">
    <field x="3"/>
  </colFields>
  <colItems count="5">
    <i>
      <x/>
    </i>
    <i>
      <x v="1"/>
    </i>
    <i>
      <x v="2"/>
    </i>
    <i>
      <x v="3"/>
    </i>
    <i t="grand">
      <x/>
    </i>
  </colItems>
  <dataFields count="1">
    <dataField name="Sum of Contract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6.xml><?xml version="1.0" encoding="utf-8"?>
<pivotTableDefinition xmlns="http://schemas.openxmlformats.org/spreadsheetml/2006/main" name="PivotTable9" cacheId="1" applyNumberFormats="0" applyBorderFormats="0" applyFontFormats="0" applyPatternFormats="0" applyAlignmentFormats="0" applyWidthHeightFormats="1" dataCaption="Values" updatedVersion="5" minRefreshableVersion="3" useAutoFormatting="1" itemPrintTitles="1" createdVersion="5" indent="0" compact="0" outline="1" outlineData="1" compactData="0" multipleFieldFilters="0">
  <location ref="A93:C114" firstHeaderRow="1" firstDataRow="1" firstDataCol="2"/>
  <pivotFields count="7">
    <pivotField compact="0" numFmtId="22" showAll="0"/>
    <pivotField axis="axisRow" compact="0" showAll="0">
      <items count="11">
        <item sd="0" x="3"/>
        <item sd="0" x="2"/>
        <item sd="0" x="0"/>
        <item sd="0" x="7"/>
        <item sd="0" x="1"/>
        <item sd="0" x="9"/>
        <item sd="0" x="6"/>
        <item x="4"/>
        <item x="5"/>
        <item x="8"/>
        <item t="default"/>
      </items>
    </pivotField>
    <pivotField name="Region" axis="axisRow" compact="0" showAll="0">
      <items count="5">
        <item x="0"/>
        <item x="3"/>
        <item x="2"/>
        <item x="1"/>
        <item t="default"/>
      </items>
    </pivotField>
    <pivotField compact="0" showAll="0">
      <items count="5">
        <item x="0"/>
        <item x="1"/>
        <item x="3"/>
        <item x="2"/>
        <item t="default"/>
      </items>
    </pivotField>
    <pivotField dataField="1" compact="0" showAll="0"/>
    <pivotField compact="0" showAll="0"/>
    <pivotField compact="0" showAll="0"/>
  </pivotFields>
  <rowFields count="2">
    <field x="1"/>
    <field x="2"/>
  </rowFields>
  <rowItems count="21">
    <i>
      <x/>
    </i>
    <i>
      <x v="1"/>
    </i>
    <i>
      <x v="2"/>
    </i>
    <i>
      <x v="3"/>
    </i>
    <i>
      <x v="4"/>
    </i>
    <i>
      <x v="5"/>
    </i>
    <i>
      <x v="6"/>
    </i>
    <i>
      <x v="7"/>
    </i>
    <i r="1">
      <x v="1"/>
    </i>
    <i r="1">
      <x v="2"/>
    </i>
    <i r="1">
      <x v="3"/>
    </i>
    <i>
      <x v="8"/>
    </i>
    <i r="1">
      <x/>
    </i>
    <i r="1">
      <x v="1"/>
    </i>
    <i r="1">
      <x v="2"/>
    </i>
    <i r="1">
      <x v="3"/>
    </i>
    <i>
      <x v="9"/>
    </i>
    <i r="1">
      <x/>
    </i>
    <i r="1">
      <x v="1"/>
    </i>
    <i r="1">
      <x v="2"/>
    </i>
    <i t="grand">
      <x/>
    </i>
  </rowItems>
  <colItems count="1">
    <i/>
  </colItems>
  <dataFields count="1">
    <dataField name="Sum of Contracts"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7.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chartFormat="3">
  <location ref="A3:F9" firstHeaderRow="1" firstDataRow="2" firstDataCol="1"/>
  <pivotFields count="7">
    <pivotField compact="0" numFmtId="22" outline="0" showAll="0">
      <items count="15">
        <item x="0"/>
        <item x="1"/>
        <item x="2"/>
        <item x="3"/>
        <item x="4"/>
        <item x="5"/>
        <item x="6"/>
        <item x="7"/>
        <item x="8"/>
        <item x="9"/>
        <item x="10"/>
        <item x="11"/>
        <item x="12"/>
        <item x="13"/>
        <item t="default"/>
      </items>
    </pivotField>
    <pivotField compact="0" outline="0" showAll="0"/>
    <pivotField axis="axisRow" compact="0" outline="0" showAll="0">
      <items count="5">
        <item sd="0" x="0"/>
        <item sd="0" x="3"/>
        <item sd="0" x="2"/>
        <item sd="0" x="1"/>
        <item t="default"/>
      </items>
    </pivotField>
    <pivotField axis="axisCol" compact="0" outline="0" showAll="0">
      <items count="5">
        <item x="0"/>
        <item x="1"/>
        <item x="3"/>
        <item x="2"/>
        <item t="default"/>
      </items>
    </pivotField>
    <pivotField compact="0" outline="0" showAll="0"/>
    <pivotField compact="0" outline="0" showAll="0"/>
    <pivotField dataField="1" compact="0" outline="0" showAll="0"/>
  </pivotFields>
  <rowFields count="1">
    <field x="2"/>
  </rowFields>
  <rowItems count="5">
    <i>
      <x/>
    </i>
    <i>
      <x v="1"/>
    </i>
    <i>
      <x v="2"/>
    </i>
    <i>
      <x v="3"/>
    </i>
    <i t="grand">
      <x/>
    </i>
  </rowItems>
  <colFields count="1">
    <field x="3"/>
  </colFields>
  <colItems count="5">
    <i>
      <x/>
    </i>
    <i>
      <x v="1"/>
    </i>
    <i>
      <x v="2"/>
    </i>
    <i>
      <x v="3"/>
    </i>
    <i t="grand">
      <x/>
    </i>
  </colItems>
  <dataFields count="1">
    <dataField name="Average of Margin %" fld="6" subtotal="average" baseField="2" baseItem="1"/>
  </dataFields>
  <chartFormats count="13">
    <chartFormat chart="0" format="0" series="1">
      <pivotArea type="data" outline="0" fieldPosition="0">
        <references count="2">
          <reference field="4294967294" count="1" selected="0">
            <x v="0"/>
          </reference>
          <reference field="3" count="1" selected="0">
            <x v="0"/>
          </reference>
        </references>
      </pivotArea>
    </chartFormat>
    <chartFormat chart="0" format="1" series="1">
      <pivotArea type="data" outline="0" fieldPosition="0">
        <references count="2">
          <reference field="4294967294" count="1" selected="0">
            <x v="0"/>
          </reference>
          <reference field="3" count="1" selected="0">
            <x v="1"/>
          </reference>
        </references>
      </pivotArea>
    </chartFormat>
    <chartFormat chart="0" format="2" series="1">
      <pivotArea type="data" outline="0" fieldPosition="0">
        <references count="2">
          <reference field="4294967294" count="1" selected="0">
            <x v="0"/>
          </reference>
          <reference field="3" count="1" selected="0">
            <x v="2"/>
          </reference>
        </references>
      </pivotArea>
    </chartFormat>
    <chartFormat chart="0" format="3" series="1">
      <pivotArea type="data" outline="0" fieldPosition="0">
        <references count="2">
          <reference field="4294967294" count="1" selected="0">
            <x v="0"/>
          </reference>
          <reference field="3" count="1" selected="0">
            <x v="3"/>
          </reference>
        </references>
      </pivotArea>
    </chartFormat>
    <chartFormat chart="0" format="4" series="1">
      <pivotArea type="data" outline="0" fieldPosition="0">
        <references count="1">
          <reference field="4294967294" count="1" selected="0">
            <x v="0"/>
          </reference>
        </references>
      </pivotArea>
    </chartFormat>
    <chartFormat chart="1" format="5" series="1">
      <pivotArea type="data" outline="0" fieldPosition="0">
        <references count="2">
          <reference field="4294967294" count="1" selected="0">
            <x v="0"/>
          </reference>
          <reference field="3" count="1" selected="0">
            <x v="0"/>
          </reference>
        </references>
      </pivotArea>
    </chartFormat>
    <chartFormat chart="1" format="6" series="1">
      <pivotArea type="data" outline="0" fieldPosition="0">
        <references count="2">
          <reference field="4294967294" count="1" selected="0">
            <x v="0"/>
          </reference>
          <reference field="3" count="1" selected="0">
            <x v="1"/>
          </reference>
        </references>
      </pivotArea>
    </chartFormat>
    <chartFormat chart="1" format="7" series="1">
      <pivotArea type="data" outline="0" fieldPosition="0">
        <references count="2">
          <reference field="4294967294" count="1" selected="0">
            <x v="0"/>
          </reference>
          <reference field="3" count="1" selected="0">
            <x v="2"/>
          </reference>
        </references>
      </pivotArea>
    </chartFormat>
    <chartFormat chart="1" format="8" series="1">
      <pivotArea type="data" outline="0" fieldPosition="0">
        <references count="2">
          <reference field="4294967294" count="1" selected="0">
            <x v="0"/>
          </reference>
          <reference field="3" count="1" selected="0">
            <x v="3"/>
          </reference>
        </references>
      </pivotArea>
    </chartFormat>
    <chartFormat chart="2" format="9" series="1">
      <pivotArea type="data" outline="0" fieldPosition="0">
        <references count="2">
          <reference field="4294967294" count="1" selected="0">
            <x v="0"/>
          </reference>
          <reference field="3" count="1" selected="0">
            <x v="0"/>
          </reference>
        </references>
      </pivotArea>
    </chartFormat>
    <chartFormat chart="2" format="10" series="1">
      <pivotArea type="data" outline="0" fieldPosition="0">
        <references count="2">
          <reference field="4294967294" count="1" selected="0">
            <x v="0"/>
          </reference>
          <reference field="3" count="1" selected="0">
            <x v="1"/>
          </reference>
        </references>
      </pivotArea>
    </chartFormat>
    <chartFormat chart="2" format="11" series="1">
      <pivotArea type="data" outline="0" fieldPosition="0">
        <references count="2">
          <reference field="4294967294" count="1" selected="0">
            <x v="0"/>
          </reference>
          <reference field="3" count="1" selected="0">
            <x v="2"/>
          </reference>
        </references>
      </pivotArea>
    </chartFormat>
    <chartFormat chart="2" format="12" series="1">
      <pivotArea type="data" outline="0" fieldPosition="0">
        <references count="2">
          <reference field="4294967294" count="1" selected="0">
            <x v="0"/>
          </reference>
          <reference field="3" count="1" selected="0">
            <x v="3"/>
          </reference>
        </references>
      </pivotArea>
    </chartFormat>
  </chart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8.xml><?xml version="1.0" encoding="utf-8"?>
<pivotTableDefinition xmlns="http://schemas.openxmlformats.org/spreadsheetml/2006/main" name="PivotTable6"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67:B71" firstHeaderRow="1" firstDataRow="1" firstDataCol="1"/>
  <pivotFields count="7">
    <pivotField compact="0" numFmtId="22" outline="0" showAll="0"/>
    <pivotField axis="axisRow" compact="0" outline="0" showAll="0" measureFilter="1" sortType="descending">
      <items count="11">
        <item x="3"/>
        <item x="2"/>
        <item x="0"/>
        <item x="7"/>
        <item x="1"/>
        <item x="9"/>
        <item x="6"/>
        <item x="4"/>
        <item x="5"/>
        <item x="8"/>
        <item t="default"/>
      </items>
      <autoSortScope>
        <pivotArea dataOnly="0" outline="0" fieldPosition="0">
          <references count="1">
            <reference field="4294967294" count="1" selected="0">
              <x v="0"/>
            </reference>
          </references>
        </pivotArea>
      </autoSortScope>
    </pivotField>
    <pivotField compact="0" outline="0" showAll="0">
      <items count="5">
        <item x="0"/>
        <item x="3"/>
        <item x="2"/>
        <item x="1"/>
        <item t="default"/>
      </items>
    </pivotField>
    <pivotField compact="0" outline="0" showAll="0">
      <items count="5">
        <item x="0"/>
        <item x="1"/>
        <item x="3"/>
        <item x="2"/>
        <item t="default"/>
      </items>
    </pivotField>
    <pivotField compact="0" outline="0" showAll="0"/>
    <pivotField dataField="1" compact="0" outline="0" showAll="0"/>
    <pivotField compact="0" outline="0" showAll="0"/>
  </pivotFields>
  <rowFields count="1">
    <field x="1"/>
  </rowFields>
  <rowItems count="4">
    <i>
      <x v="8"/>
    </i>
    <i>
      <x v="1"/>
    </i>
    <i>
      <x v="6"/>
    </i>
    <i t="grand">
      <x/>
    </i>
  </rowItems>
  <colItems count="1">
    <i/>
  </colItems>
  <dataFields count="1">
    <dataField name="Sum of Revenue" fld="5" baseField="1" baseItem="1"/>
  </dataFields>
  <pivotTableStyleInfo name="PivotStyleLight16" showRowHeaders="1" showColHeaders="1" showRowStripes="0" showColStripes="0" showLastColumn="1"/>
  <filters count="1">
    <filter fld="1" type="count" evalOrder="-1" id="5" iMeasureFld="0">
      <autoFilter ref="A1">
        <filterColumn colId="0">
          <top10 val="3" filterVal="3"/>
        </filterColumn>
      </autoFilter>
    </filter>
  </filters>
  <extLst>
    <ext xmlns:x14="http://schemas.microsoft.com/office/spreadsheetml/2009/9/main" uri="{962EF5D1-5CA2-4c93-8EF4-DBF5C05439D2}">
      <x14:pivotTableDefinition xmlns:xm="http://schemas.microsoft.com/office/excel/2006/main" hideValuesRow="1"/>
    </ext>
  </extLst>
</pivotTableDefinition>
</file>

<file path=xl/pivotTables/pivotTable9.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57:C62" firstHeaderRow="0" firstDataRow="1" firstDataCol="1"/>
  <pivotFields count="7">
    <pivotField compact="0" numFmtId="22" outline="0" showAll="0"/>
    <pivotField compact="0" outline="0" showAll="0"/>
    <pivotField axis="axisRow" compact="0" outline="0" showAll="0">
      <items count="5">
        <item x="0"/>
        <item x="3"/>
        <item x="2"/>
        <item x="1"/>
        <item t="default"/>
      </items>
    </pivotField>
    <pivotField compact="0" outline="0" showAll="0">
      <items count="5">
        <item x="0"/>
        <item x="1"/>
        <item x="3"/>
        <item x="2"/>
        <item t="default"/>
      </items>
    </pivotField>
    <pivotField dataField="1" compact="0" outline="0" showAll="0"/>
    <pivotField dataField="1" compact="0" outline="0" showAll="0"/>
    <pivotField compact="0" outline="0" showAll="0"/>
  </pivotFields>
  <rowFields count="1">
    <field x="2"/>
  </rowFields>
  <rowItems count="5">
    <i>
      <x/>
    </i>
    <i>
      <x v="1"/>
    </i>
    <i>
      <x v="2"/>
    </i>
    <i>
      <x v="3"/>
    </i>
    <i t="grand">
      <x/>
    </i>
  </rowItems>
  <colFields count="1">
    <field x="-2"/>
  </colFields>
  <colItems count="2">
    <i>
      <x/>
    </i>
    <i i="1">
      <x v="1"/>
    </i>
  </colItems>
  <dataFields count="2">
    <dataField name="Sum of Revenue" fld="5" baseField="2" baseItem="2"/>
    <dataField name="Count of Contracts" fld="4" subtotal="count" baseField="2"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0.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47:B52" firstHeaderRow="1" firstDataRow="1" firstDataCol="1"/>
  <pivotFields count="7">
    <pivotField compact="0" numFmtId="22" outline="0" showAll="0">
      <extLst>
        <ext xmlns:x14="http://schemas.microsoft.com/office/spreadsheetml/2009/9/main" uri="{2946ED86-A175-432a-8AC1-64E0C546D7DE}">
          <x14:pivotField fillDownLabels="1"/>
        </ext>
      </extLst>
    </pivotField>
    <pivotField compact="0" outline="0" showAll="0">
      <items count="11">
        <item x="3"/>
        <item x="2"/>
        <item x="0"/>
        <item x="7"/>
        <item x="1"/>
        <item x="9"/>
        <item x="6"/>
        <item x="4"/>
        <item x="5"/>
        <item x="8"/>
        <item t="default"/>
      </items>
      <extLst>
        <ext xmlns:x14="http://schemas.microsoft.com/office/spreadsheetml/2009/9/main" uri="{2946ED86-A175-432a-8AC1-64E0C546D7DE}">
          <x14:pivotField fillDownLabels="1"/>
        </ext>
      </extLst>
    </pivotField>
    <pivotField compact="0" outline="0" showAll="0">
      <items count="5">
        <item x="0"/>
        <item x="3"/>
        <item x="2"/>
        <item x="1"/>
        <item t="default"/>
      </items>
      <extLst>
        <ext xmlns:x14="http://schemas.microsoft.com/office/spreadsheetml/2009/9/main" uri="{2946ED86-A175-432a-8AC1-64E0C546D7DE}">
          <x14:pivotField fillDownLabels="1"/>
        </ext>
      </extLst>
    </pivotField>
    <pivotField axis="axisRow" compact="0" outline="0" showAll="0" sortType="descending">
      <items count="5">
        <item x="0"/>
        <item x="1"/>
        <item x="3"/>
        <item x="2"/>
        <item t="default"/>
      </items>
      <autoSortScope>
        <pivotArea dataOnly="0" outline="0" fieldPosition="0">
          <references count="1">
            <reference field="4294967294" count="1" selected="0">
              <x v="0"/>
            </reference>
          </references>
        </pivotArea>
      </autoSortScope>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s>
  <rowFields count="1">
    <field x="3"/>
  </rowFields>
  <rowItems count="5">
    <i>
      <x v="1"/>
    </i>
    <i>
      <x/>
    </i>
    <i>
      <x v="3"/>
    </i>
    <i>
      <x v="2"/>
    </i>
    <i t="grand">
      <x/>
    </i>
  </rowItems>
  <colItems count="1">
    <i/>
  </colItems>
  <dataFields count="1">
    <dataField name="Average of Margin %" fld="6" subtotal="average" baseField="3" baseItem="0" numFmtId="9"/>
  </dataFields>
  <formats count="1">
    <format dxfId="8">
      <pivotArea outline="0" collapsedLevelsAreSubtotals="1" fieldPosition="0">
        <references count="1">
          <reference field="3"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1.xml><?xml version="1.0" encoding="utf-8"?>
<pivotTableDefinition xmlns="http://schemas.openxmlformats.org/spreadsheetml/2006/main" name="PivotTable7"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D67:E78" firstHeaderRow="1" firstDataRow="1" firstDataCol="1"/>
  <pivotFields count="7">
    <pivotField compact="0" numFmtId="22" outline="0" showAll="0"/>
    <pivotField axis="axisRow" compact="0" outline="0" showAll="0">
      <items count="11">
        <item x="3"/>
        <item x="2"/>
        <item x="0"/>
        <item x="7"/>
        <item x="1"/>
        <item x="9"/>
        <item x="6"/>
        <item x="4"/>
        <item x="5"/>
        <item x="8"/>
        <item t="default"/>
      </items>
    </pivotField>
    <pivotField compact="0" outline="0" showAll="0">
      <items count="5">
        <item x="0"/>
        <item x="3"/>
        <item x="2"/>
        <item x="1"/>
        <item t="default"/>
      </items>
    </pivotField>
    <pivotField compact="0" outline="0" showAll="0">
      <items count="5">
        <item x="0"/>
        <item x="1"/>
        <item x="3"/>
        <item x="2"/>
        <item t="default"/>
      </items>
    </pivotField>
    <pivotField compact="0" outline="0" showAll="0"/>
    <pivotField dataField="1" compact="0" outline="0" showAll="0"/>
    <pivotField compact="0" outline="0" showAll="0"/>
  </pivotFields>
  <rowFields count="1">
    <field x="1"/>
  </rowFields>
  <rowItems count="11">
    <i>
      <x/>
    </i>
    <i>
      <x v="1"/>
    </i>
    <i>
      <x v="2"/>
    </i>
    <i>
      <x v="3"/>
    </i>
    <i>
      <x v="4"/>
    </i>
    <i>
      <x v="5"/>
    </i>
    <i>
      <x v="6"/>
    </i>
    <i>
      <x v="7"/>
    </i>
    <i>
      <x v="8"/>
    </i>
    <i>
      <x v="9"/>
    </i>
    <i t="grand">
      <x/>
    </i>
  </rowItems>
  <colItems count="1">
    <i/>
  </colItems>
  <dataFields count="1">
    <dataField name="Sum of Revenue" fld="5" baseField="1" baseItem="4">
      <extLst>
        <ext xmlns:x14="http://schemas.microsoft.com/office/spreadsheetml/2009/9/main" uri="{E15A36E0-9728-4e99-A89B-3F7291B0FE68}">
          <x14:dataField pivotShowAs="rankDescending"/>
        </ext>
      </extLst>
    </dataField>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12.xml><?xml version="1.0" encoding="utf-8"?>
<pivotTableDefinition xmlns="http://schemas.openxmlformats.org/spreadsheetml/2006/main" name="PivotTable8" cacheId="1" applyNumberFormats="0" applyBorderFormats="0" applyFontFormats="0" applyPatternFormats="0" applyAlignmentFormats="0" applyWidthHeightFormats="1" dataCaption="Values" updatedVersion="5" minRefreshableVersion="3" useAutoFormatting="1" itemPrintTitles="1" createdVersion="5" indent="0" compact="0" compactData="0" multipleFieldFilters="0">
  <location ref="A83:C88" firstHeaderRow="0" firstDataRow="1" firstDataCol="1"/>
  <pivotFields count="7">
    <pivotField compact="0" numFmtId="22"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 compact="0" outline="0" showAll="0">
      <items count="5">
        <item x="0"/>
        <item x="3"/>
        <item x="2"/>
        <item x="1"/>
        <item t="default"/>
      </items>
      <extLst>
        <ext xmlns:x14="http://schemas.microsoft.com/office/spreadsheetml/2009/9/main" uri="{2946ED86-A175-432a-8AC1-64E0C546D7DE}">
          <x14:pivotField fillDownLabels="1"/>
        </ext>
      </extLst>
    </pivotField>
    <pivotField axis="axisRow" compact="0" outline="0" showAll="0">
      <items count="5">
        <item x="0"/>
        <item x="1"/>
        <item x="3"/>
        <item x="2"/>
        <item t="default"/>
      </items>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dataField="1" compact="0" outline="0" showAll="0">
      <extLst>
        <ext xmlns:x14="http://schemas.microsoft.com/office/spreadsheetml/2009/9/main" uri="{2946ED86-A175-432a-8AC1-64E0C546D7DE}">
          <x14:pivotField fillDownLabels="1"/>
        </ext>
      </extLst>
    </pivotField>
    <pivotField compact="0" outline="0" showAll="0">
      <extLst>
        <ext xmlns:x14="http://schemas.microsoft.com/office/spreadsheetml/2009/9/main" uri="{2946ED86-A175-432a-8AC1-64E0C546D7DE}">
          <x14:pivotField fillDownLabels="1"/>
        </ext>
      </extLst>
    </pivotField>
  </pivotFields>
  <rowFields count="1">
    <field x="3"/>
  </rowFields>
  <rowItems count="5">
    <i>
      <x/>
    </i>
    <i>
      <x v="1"/>
    </i>
    <i>
      <x v="2"/>
    </i>
    <i>
      <x v="3"/>
    </i>
    <i t="grand">
      <x/>
    </i>
  </rowItems>
  <colFields count="1">
    <field x="-2"/>
  </colFields>
  <colItems count="2">
    <i>
      <x/>
    </i>
    <i i="1">
      <x v="1"/>
    </i>
  </colItems>
  <dataFields count="2">
    <dataField name="Average of Revenue" fld="5" subtotal="average" baseField="3" baseItem="0" numFmtId="2"/>
    <dataField name="Count of Contracts" fld="4" subtotal="count" baseField="3" baseItem="0"/>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Lst>
</pivotTableDefinition>
</file>

<file path=xl/pivotTables/pivotTable13.xml><?xml version="1.0" encoding="utf-8"?>
<pivotTableDefinition xmlns="http://schemas.openxmlformats.org/spreadsheetml/2006/main" name="PivotTable1" cacheId="2"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2">
  <location ref="D3:E16" firstHeaderRow="1" firstDataRow="1" firstDataCol="1"/>
  <pivotFields count="2">
    <pivotField axis="axisRow" numFmtId="17" showAll="0">
      <items count="13">
        <item x="0"/>
        <item x="1"/>
        <item x="2"/>
        <item x="3"/>
        <item x="4"/>
        <item x="5"/>
        <item x="6"/>
        <item x="7"/>
        <item x="8"/>
        <item x="9"/>
        <item x="10"/>
        <item x="11"/>
        <item t="default"/>
      </items>
    </pivotField>
    <pivotField dataField="1" numFmtId="3" showAll="0"/>
  </pivotFields>
  <rowFields count="1">
    <field x="0"/>
  </rowFields>
  <rowItems count="13">
    <i>
      <x/>
    </i>
    <i>
      <x v="1"/>
    </i>
    <i>
      <x v="2"/>
    </i>
    <i>
      <x v="3"/>
    </i>
    <i>
      <x v="4"/>
    </i>
    <i>
      <x v="5"/>
    </i>
    <i>
      <x v="6"/>
    </i>
    <i>
      <x v="7"/>
    </i>
    <i>
      <x v="8"/>
    </i>
    <i>
      <x v="9"/>
    </i>
    <i>
      <x v="10"/>
    </i>
    <i>
      <x v="11"/>
    </i>
    <i t="grand">
      <x/>
    </i>
  </rowItems>
  <colItems count="1">
    <i/>
  </colItems>
  <dataFields count="1">
    <dataField name="Sum of Sales" fld="1"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roduct" sourceName="Product">
  <pivotTables>
    <pivotTable tabId="13" name="PivotTable5"/>
    <pivotTable tabId="13" name="PivotTable1"/>
    <pivotTable tabId="13" name="PivotTable2"/>
    <pivotTable tabId="13" name="PivotTable3"/>
    <pivotTable tabId="13" name="PivotTable6"/>
    <pivotTable tabId="13" name="PivotTable7"/>
    <pivotTable tabId="13" name="PivotTable8"/>
    <pivotTable tabId="13" name="PivotTable9"/>
  </pivotTables>
  <data>
    <tabular pivotCacheId="1">
      <items count="4">
        <i x="0" s="1"/>
        <i x="1" s="1"/>
        <i x="3"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Geography" sourceName="Geography">
  <pivotTables>
    <pivotTable tabId="13" name="PivotTable3"/>
    <pivotTable tabId="13" name="PivotTable1"/>
    <pivotTable tabId="13" name="PivotTable2"/>
    <pivotTable tabId="13" name="PivotTable4"/>
    <pivotTable tabId="13" name="PivotTable5"/>
    <pivotTable tabId="13" name="PivotTable6"/>
    <pivotTable tabId="13" name="PivotTable7"/>
    <pivotTable tabId="13" name="PivotTable8"/>
    <pivotTable tabId="13" name="PivotTable9"/>
  </pivotTables>
  <data>
    <tabular pivotCacheId="1">
      <items count="4">
        <i x="0" s="1"/>
        <i x="3"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Product" cache="Slicer_Product" caption="Product" rowHeight="241300"/>
  <slicer name="Product 1" cache="Slicer_Product" caption="Product" rowHeight="241300"/>
  <slicer name="Geography" cache="Slicer_Geography" caption="Geography" rowHeight="241300"/>
</slicers>
</file>

<file path=xl/tables/table1.xml><?xml version="1.0" encoding="utf-8"?>
<table xmlns="http://schemas.openxmlformats.org/spreadsheetml/2006/main" id="1" name="vlookup" displayName="vlookup" ref="A2:E11" totalsRowShown="0" dataDxfId="39">
  <autoFilter ref="A2:E11"/>
  <tableColumns count="5">
    <tableColumn id="1" name="Subject" dataDxfId="38"/>
    <tableColumn id="2" name="Column1" dataDxfId="37"/>
    <tableColumn id="3" name="Column2" dataDxfId="36"/>
    <tableColumn id="4" name="Column3" dataDxfId="35"/>
    <tableColumn id="5" name="Column4" dataDxfId="34"/>
  </tableColumns>
  <tableStyleInfo name="TableStyleMedium2" showFirstColumn="0" showLastColumn="0" showRowStripes="1" showColumnStripes="0"/>
</table>
</file>

<file path=xl/tables/table2.xml><?xml version="1.0" encoding="utf-8"?>
<table xmlns="http://schemas.openxmlformats.org/spreadsheetml/2006/main" id="2" name="Table2" displayName="Table2" ref="H3:I10" totalsRowShown="0" headerRowDxfId="33">
  <autoFilter ref="H3:I10"/>
  <tableColumns count="2">
    <tableColumn id="1" name="name" dataDxfId="32">
      <calculatedColumnFormula>INDEX(B4:B11,Table2[[#This Row],[physics]])</calculatedColumnFormula>
    </tableColumn>
    <tableColumn id="2" name="physics" dataDxfId="31">
      <calculatedColumnFormula>index</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2:E11" headerRowCount="0" totalsRowShown="0" headerRowDxfId="30" dataDxfId="29">
  <tableColumns count="5">
    <tableColumn id="1" name="Column1" dataDxfId="28"/>
    <tableColumn id="2" name="Column2" headerRowDxfId="27" dataDxfId="26"/>
    <tableColumn id="3" name="Column3" headerRowDxfId="25" dataDxfId="24"/>
    <tableColumn id="4" name="Column4" headerRowDxfId="23" dataDxfId="22"/>
    <tableColumn id="5" name="Column5" headerRowDxfId="21" dataDxfId="20"/>
  </tableColumns>
  <tableStyleInfo name="TableStyleLight16" showFirstColumn="0" showLastColumn="0" showRowStripes="1" showColumnStripes="0"/>
</table>
</file>

<file path=xl/tables/table4.xml><?xml version="1.0" encoding="utf-8"?>
<table xmlns="http://schemas.openxmlformats.org/spreadsheetml/2006/main" id="4" name="Table4" displayName="Table4" ref="H2:J5" totalsRowShown="0" headerRowDxfId="19">
  <autoFilter ref="H2:J5"/>
  <tableColumns count="3">
    <tableColumn id="1" name="name"/>
    <tableColumn id="2" name="math">
      <calculatedColumnFormula>INDEX(A3:E11,MATCH(H3,A3:A11,0),2)</calculatedColumnFormula>
    </tableColumn>
    <tableColumn id="3" name="physics"/>
  </tableColumns>
  <tableStyleInfo name="TableStyleMedium2" showFirstColumn="0" showLastColumn="0" showRowStripes="1" showColumnStripes="0"/>
</table>
</file>

<file path=xl/tables/table5.xml><?xml version="1.0" encoding="utf-8"?>
<table xmlns="http://schemas.openxmlformats.org/spreadsheetml/2006/main" id="6" name="Table6" displayName="Table6" ref="H7:I11" totalsRowShown="0" headerRowDxfId="18" dataDxfId="17">
  <autoFilter ref="H7:I11"/>
  <tableColumns count="2">
    <tableColumn id="1" name="name" dataDxfId="16"/>
    <tableColumn id="2" name="Math" dataDxfId="15">
      <calculatedColumnFormula>INDEX(A3:E11,MATCH(H8,A3:A11,0),MATCH(I7,A3:E3,0))</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5" name="Table5" displayName="Table5" ref="C8:H12">
  <autoFilter ref="C8:H12">
    <filterColumn colId="0" hiddenButton="1"/>
    <filterColumn colId="1" hiddenButton="1"/>
    <filterColumn colId="2" hiddenButton="1"/>
    <filterColumn colId="3" hiddenButton="1"/>
    <filterColumn colId="4" hiddenButton="1"/>
  </autoFilter>
  <tableColumns count="6">
    <tableColumn id="1" name="Whole Numbers" totalsRowLabel="Total"/>
    <tableColumn id="2" name="Text Length"/>
    <tableColumn id="3" name="Date"/>
    <tableColumn id="4" name="Drop Down List"/>
    <tableColumn id="5" name="Drop Down List2" totalsRowFunction="count"/>
    <tableColumn id="6" name="Column1"/>
  </tableColumns>
  <tableStyleInfo name="TableStyleLight4" showFirstColumn="0" showLastColumn="0" showRowStripes="1" showColumnStripes="0"/>
</table>
</file>

<file path=xl/tables/table7.xml><?xml version="1.0" encoding="utf-8"?>
<table xmlns="http://schemas.openxmlformats.org/spreadsheetml/2006/main" id="7" name="Table7" displayName="Table7" ref="A4:C6" headerRowCount="0" totalsRowShown="0">
  <tableColumns count="3">
    <tableColumn id="1" name="Column1"/>
    <tableColumn id="2" name="Column2"/>
    <tableColumn id="3" name="Column3"/>
  </tableColumns>
  <tableStyleInfo name="TableStyleLight15" showFirstColumn="1" showLastColumn="0" showRowStripes="0" showColumnStripes="0"/>
</table>
</file>

<file path=xl/tables/table8.xml><?xml version="1.0" encoding="utf-8"?>
<table xmlns="http://schemas.openxmlformats.org/spreadsheetml/2006/main" id="12" name="Table12" displayName="Table12" ref="A2:D27" totalsRowShown="0">
  <autoFilter ref="A2:D27"/>
  <tableColumns count="4">
    <tableColumn id="1" name="Sales person"/>
    <tableColumn id="2" name="Region"/>
    <tableColumn id="3" name="Sales"/>
    <tableColumn id="4" name="Date" dataDxfId="10"/>
  </tableColumns>
  <tableStyleInfo name="TableStyleLight19" showFirstColumn="0" showLastColumn="0" showRowStripes="1" showColumnStripes="0"/>
</table>
</file>

<file path=xl/tables/table9.xml><?xml version="1.0" encoding="utf-8"?>
<table xmlns="http://schemas.openxmlformats.org/spreadsheetml/2006/main" id="9" name="Table9" displayName="Table9" ref="A1:C3" totalsRowShown="0">
  <autoFilter ref="A1:C3"/>
  <tableColumns count="3">
    <tableColumn id="1" name="Sales person"/>
    <tableColumn id="2" name="Region"/>
    <tableColumn id="3" name="Sales"/>
  </tableColumns>
  <tableStyleInfo name="TableStyleMedium2" showFirstColumn="0" showLastColumn="0" showRowStripes="1" showColumnStripes="0"/>
</table>
</file>

<file path=xl/tables/table10.xml><?xml version="1.0" encoding="utf-8"?>
<table xmlns="http://schemas.openxmlformats.org/spreadsheetml/2006/main" id="10" name="Table10" displayName="Table10" ref="A1:G13" totalsRowShown="0">
  <autoFilter ref="A1:G13"/>
  <tableColumns count="7">
    <tableColumn id="1" name="Date" dataDxfId="9"/>
    <tableColumn id="2" name="Name"/>
    <tableColumn id="3" name="Geography"/>
    <tableColumn id="4" name="Product"/>
    <tableColumn id="5" name="Contracts"/>
    <tableColumn id="6" name="Revenue"/>
    <tableColumn id="7" name="Margin %"/>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table" Target="../tables/table8.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3.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8" Type="http://schemas.openxmlformats.org/officeDocument/2006/relationships/pivotTable" Target="../pivotTables/pivotTable11.xml"/><Relationship Id="rId3" Type="http://schemas.openxmlformats.org/officeDocument/2006/relationships/pivotTable" Target="../pivotTables/pivotTable6.xml"/><Relationship Id="rId7" Type="http://schemas.openxmlformats.org/officeDocument/2006/relationships/pivotTable" Target="../pivotTables/pivotTable10.xml"/><Relationship Id="rId2" Type="http://schemas.openxmlformats.org/officeDocument/2006/relationships/pivotTable" Target="../pivotTables/pivotTable5.xml"/><Relationship Id="rId1" Type="http://schemas.openxmlformats.org/officeDocument/2006/relationships/pivotTable" Target="../pivotTables/pivotTable4.xml"/><Relationship Id="rId6" Type="http://schemas.openxmlformats.org/officeDocument/2006/relationships/pivotTable" Target="../pivotTables/pivotTable9.xml"/><Relationship Id="rId11" Type="http://schemas.openxmlformats.org/officeDocument/2006/relationships/drawing" Target="../drawings/drawing3.xml"/><Relationship Id="rId5" Type="http://schemas.openxmlformats.org/officeDocument/2006/relationships/pivotTable" Target="../pivotTables/pivotTable8.xml"/><Relationship Id="rId10" Type="http://schemas.openxmlformats.org/officeDocument/2006/relationships/printerSettings" Target="../printerSettings/printerSettings5.bin"/><Relationship Id="rId4" Type="http://schemas.openxmlformats.org/officeDocument/2006/relationships/pivotTable" Target="../pivotTables/pivotTable7.xml"/><Relationship Id="rId9" Type="http://schemas.openxmlformats.org/officeDocument/2006/relationships/pivotTable" Target="../pivotTables/pivotTable12.xml"/></Relationships>
</file>

<file path=xl/worksheets/_rels/sheet1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6.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22"/>
  <sheetViews>
    <sheetView zoomScale="115" zoomScaleNormal="115" workbookViewId="0">
      <selection activeCell="E6" sqref="E6"/>
    </sheetView>
  </sheetViews>
  <sheetFormatPr defaultRowHeight="15" x14ac:dyDescent="0.25"/>
  <cols>
    <col min="1" max="1" width="10.28515625" customWidth="1"/>
    <col min="6" max="6" width="9.140625" customWidth="1"/>
    <col min="7" max="7" width="47.42578125" customWidth="1"/>
    <col min="8" max="8" width="4.7109375" customWidth="1"/>
    <col min="9" max="9" width="5.5703125" customWidth="1"/>
  </cols>
  <sheetData>
    <row r="1" spans="1:9" x14ac:dyDescent="0.25">
      <c r="A1" s="5" t="s">
        <v>9</v>
      </c>
      <c r="B1" s="2"/>
      <c r="C1" s="2"/>
      <c r="D1" s="2"/>
      <c r="E1" s="2"/>
      <c r="F1" s="3"/>
      <c r="G1" s="3"/>
    </row>
    <row r="2" spans="1:9" x14ac:dyDescent="0.25">
      <c r="A2" s="2"/>
      <c r="B2" s="2"/>
      <c r="C2" s="2"/>
      <c r="D2" s="2"/>
      <c r="E2" s="2"/>
      <c r="F2" s="3"/>
      <c r="G2" s="3"/>
    </row>
    <row r="3" spans="1:9" x14ac:dyDescent="0.25">
      <c r="A3" s="3" t="s">
        <v>10</v>
      </c>
      <c r="B3" s="3">
        <v>100</v>
      </c>
      <c r="C3" s="2"/>
      <c r="F3" s="3" t="s">
        <v>10</v>
      </c>
      <c r="G3" s="3">
        <v>100</v>
      </c>
    </row>
    <row r="4" spans="1:9" x14ac:dyDescent="0.25">
      <c r="A4" s="3" t="s">
        <v>12</v>
      </c>
      <c r="B4" s="3">
        <v>200</v>
      </c>
      <c r="C4" s="2"/>
      <c r="F4" s="3" t="s">
        <v>16</v>
      </c>
      <c r="G4" s="3">
        <v>200</v>
      </c>
    </row>
    <row r="5" spans="1:9" x14ac:dyDescent="0.25">
      <c r="A5" s="3" t="s">
        <v>11</v>
      </c>
      <c r="B5" s="3">
        <v>400</v>
      </c>
      <c r="C5" s="2"/>
      <c r="F5" s="3" t="s">
        <v>11</v>
      </c>
      <c r="G5" s="3">
        <v>400</v>
      </c>
    </row>
    <row r="6" spans="1:9" x14ac:dyDescent="0.25">
      <c r="A6" s="3" t="s">
        <v>10</v>
      </c>
      <c r="B6" s="3">
        <v>700</v>
      </c>
      <c r="C6" s="2"/>
      <c r="F6" s="3" t="s">
        <v>10</v>
      </c>
      <c r="G6" s="3">
        <v>700</v>
      </c>
    </row>
    <row r="7" spans="1:9" x14ac:dyDescent="0.25">
      <c r="A7" s="3" t="s">
        <v>10</v>
      </c>
      <c r="B7" s="3">
        <v>10</v>
      </c>
      <c r="C7" s="2"/>
      <c r="F7" s="2"/>
      <c r="G7" s="2"/>
      <c r="H7" s="2"/>
      <c r="I7" s="5" t="s">
        <v>20</v>
      </c>
    </row>
    <row r="8" spans="1:9" x14ac:dyDescent="0.25">
      <c r="A8" s="2"/>
      <c r="B8" s="2"/>
      <c r="C8" s="2"/>
      <c r="F8" s="2"/>
      <c r="G8" s="2"/>
      <c r="H8" s="2"/>
      <c r="I8" s="2"/>
    </row>
    <row r="9" spans="1:9" ht="18.75" customHeight="1" x14ac:dyDescent="0.25">
      <c r="A9" s="3" t="s">
        <v>13</v>
      </c>
      <c r="B9">
        <f>SUM(B3:B5)</f>
        <v>700</v>
      </c>
      <c r="C9" s="2"/>
      <c r="F9" s="2"/>
      <c r="G9" s="4" t="s">
        <v>17</v>
      </c>
      <c r="H9" s="2"/>
      <c r="I9" s="2">
        <f>SUMIFS(G3:G6,G3:G6,"&gt;100",G3:G6,"&lt;500")</f>
        <v>600</v>
      </c>
    </row>
    <row r="10" spans="1:9" ht="25.5" customHeight="1" x14ac:dyDescent="0.25">
      <c r="A10" s="3" t="s">
        <v>14</v>
      </c>
      <c r="B10" s="2">
        <f>SUMIF(A3:A7,"tom",B3:B7)</f>
        <v>810</v>
      </c>
      <c r="G10" s="4" t="s">
        <v>18</v>
      </c>
      <c r="H10" s="2"/>
      <c r="I10" s="2">
        <f>SUMIFS(G3:G6,F3:F6,"*a*",F3:F6,"j*")</f>
        <v>200</v>
      </c>
    </row>
    <row r="11" spans="1:9" ht="25.5" customHeight="1" x14ac:dyDescent="0.25">
      <c r="A11" s="3" t="s">
        <v>15</v>
      </c>
      <c r="B11" s="2">
        <f>SUMIFS(B3:B7,A3:A7,"tom",B3:B7,"&gt;500",B3:B7,"jane")</f>
        <v>0</v>
      </c>
      <c r="C11" s="2"/>
      <c r="D11" s="2"/>
      <c r="E11" s="2"/>
      <c r="F11" s="2"/>
      <c r="G11" s="4" t="s">
        <v>19</v>
      </c>
      <c r="H11" s="2"/>
      <c r="I11" s="2">
        <f>SUMIFS(G3:G6,F3:F6,"&lt;&gt;tom",G3:G6,"&gt;200")</f>
        <v>400</v>
      </c>
    </row>
    <row r="15" spans="1:9" x14ac:dyDescent="0.25">
      <c r="A15" s="3" t="s">
        <v>10</v>
      </c>
      <c r="B15" s="3">
        <v>100</v>
      </c>
    </row>
    <row r="16" spans="1:9" x14ac:dyDescent="0.25">
      <c r="A16" s="3" t="s">
        <v>12</v>
      </c>
      <c r="B16" s="3">
        <v>200</v>
      </c>
    </row>
    <row r="17" spans="1:2" x14ac:dyDescent="0.25">
      <c r="A17" s="3" t="s">
        <v>11</v>
      </c>
      <c r="B17" s="3">
        <v>400</v>
      </c>
    </row>
    <row r="18" spans="1:2" x14ac:dyDescent="0.25">
      <c r="A18" s="3" t="s">
        <v>10</v>
      </c>
      <c r="B18" s="3">
        <v>700</v>
      </c>
    </row>
    <row r="19" spans="1:2" x14ac:dyDescent="0.25">
      <c r="A19" s="3" t="s">
        <v>10</v>
      </c>
      <c r="B19" s="3">
        <v>10</v>
      </c>
    </row>
    <row r="20" spans="1:2" x14ac:dyDescent="0.25">
      <c r="A20" s="2"/>
      <c r="B20" s="2"/>
    </row>
    <row r="21" spans="1:2" x14ac:dyDescent="0.25">
      <c r="A21" s="3" t="s">
        <v>13</v>
      </c>
      <c r="B21" s="2">
        <f>SUMIFS(B15:B19,B15:B19,"&gt;100",B15:B19,"&lt;500")</f>
        <v>600</v>
      </c>
    </row>
    <row r="22" spans="1:2" x14ac:dyDescent="0.25">
      <c r="A22" s="3" t="s">
        <v>13</v>
      </c>
      <c r="B22" s="2">
        <f>SUMIFS(B15:B19,A15:A19,"*a*",A15:A19,"j*")</f>
        <v>200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M33"/>
  <sheetViews>
    <sheetView workbookViewId="0">
      <selection activeCell="I24" sqref="I24"/>
    </sheetView>
  </sheetViews>
  <sheetFormatPr defaultRowHeight="15" x14ac:dyDescent="0.25"/>
  <cols>
    <col min="7" max="7" width="33.7109375" customWidth="1"/>
  </cols>
  <sheetData>
    <row r="3" spans="1:3" x14ac:dyDescent="0.25">
      <c r="A3" s="5" t="s">
        <v>7</v>
      </c>
    </row>
    <row r="5" spans="1:3" x14ac:dyDescent="0.25">
      <c r="A5" t="s">
        <v>0</v>
      </c>
      <c r="B5" t="s">
        <v>1</v>
      </c>
      <c r="C5" t="s">
        <v>2</v>
      </c>
    </row>
    <row r="7" spans="1:3" x14ac:dyDescent="0.25">
      <c r="A7" t="s">
        <v>3</v>
      </c>
      <c r="B7">
        <v>10</v>
      </c>
      <c r="C7" s="1">
        <v>20</v>
      </c>
    </row>
    <row r="9" spans="1:3" x14ac:dyDescent="0.25">
      <c r="A9" t="s">
        <v>4</v>
      </c>
      <c r="B9">
        <v>21</v>
      </c>
      <c r="C9" s="1">
        <v>7</v>
      </c>
    </row>
    <row r="10" spans="1:3" x14ac:dyDescent="0.25">
      <c r="A10" t="s">
        <v>5</v>
      </c>
      <c r="B10">
        <v>12</v>
      </c>
      <c r="C10" s="1">
        <v>12</v>
      </c>
    </row>
    <row r="11" spans="1:3" x14ac:dyDescent="0.25">
      <c r="A11" t="s">
        <v>6</v>
      </c>
      <c r="B11">
        <v>4</v>
      </c>
      <c r="C11" s="1">
        <v>32</v>
      </c>
    </row>
    <row r="13" spans="1:3" x14ac:dyDescent="0.25">
      <c r="A13" t="s">
        <v>7</v>
      </c>
      <c r="C13">
        <f>AVERAGE(B7:B11)</f>
        <v>11.75</v>
      </c>
    </row>
    <row r="14" spans="1:3" x14ac:dyDescent="0.25">
      <c r="A14" t="s">
        <v>8</v>
      </c>
      <c r="C14">
        <f>AVERAGEIFS(C7:C11,B7:B11,"&gt;10",A7:A11,"&lt;&gt;papaya")</f>
        <v>9.5</v>
      </c>
    </row>
    <row r="18" spans="1:13" x14ac:dyDescent="0.25">
      <c r="A18" s="2" t="s">
        <v>21</v>
      </c>
      <c r="B18" s="2"/>
      <c r="C18" s="2"/>
      <c r="D18" s="2"/>
      <c r="E18" s="2"/>
    </row>
    <row r="19" spans="1:13" x14ac:dyDescent="0.25">
      <c r="A19" s="2"/>
      <c r="B19" s="2"/>
      <c r="C19" s="2"/>
      <c r="D19" s="2"/>
      <c r="E19" s="2"/>
      <c r="H19" s="2">
        <f>AVERAGEIF(A19:A23,"Tom",B19:B24)</f>
        <v>11</v>
      </c>
      <c r="I19" s="2"/>
      <c r="J19" s="3" t="s">
        <v>23</v>
      </c>
      <c r="K19" s="2"/>
      <c r="L19" s="2"/>
      <c r="M19" s="2"/>
    </row>
    <row r="20" spans="1:13" x14ac:dyDescent="0.25">
      <c r="A20" s="3" t="s">
        <v>10</v>
      </c>
      <c r="B20" s="3">
        <v>10</v>
      </c>
      <c r="C20" s="2"/>
      <c r="D20" s="2"/>
      <c r="E20" s="3">
        <v>19</v>
      </c>
      <c r="H20" s="2">
        <f>AVERAGEIF(A19:A23,"*A*",B19:B24)</f>
        <v>13.5</v>
      </c>
      <c r="I20" s="2"/>
      <c r="J20" s="3" t="s">
        <v>24</v>
      </c>
      <c r="K20" s="2"/>
      <c r="L20" s="2"/>
      <c r="M20" s="2"/>
    </row>
    <row r="21" spans="1:13" x14ac:dyDescent="0.25">
      <c r="A21" s="3" t="s">
        <v>16</v>
      </c>
      <c r="B21" s="3">
        <v>12</v>
      </c>
      <c r="C21" s="2"/>
      <c r="D21" s="2"/>
      <c r="E21" s="3">
        <v>12</v>
      </c>
      <c r="H21" s="2">
        <f>AVERAGEIF(B19:B24,"&gt;10")</f>
        <v>14.75</v>
      </c>
      <c r="I21" s="2"/>
      <c r="J21" s="3" t="s">
        <v>25</v>
      </c>
      <c r="K21" s="2"/>
      <c r="L21" s="2"/>
      <c r="M21" s="2"/>
    </row>
    <row r="22" spans="1:13" x14ac:dyDescent="0.25">
      <c r="A22" s="3" t="s">
        <v>11</v>
      </c>
      <c r="B22" s="3">
        <v>15</v>
      </c>
      <c r="C22" s="2"/>
      <c r="D22" s="2"/>
      <c r="E22" s="3">
        <v>15</v>
      </c>
      <c r="H22" s="2">
        <f ca="1">AVERAGEIF(B19:B23,"&gt;10",B19:B22)</f>
        <v>13</v>
      </c>
      <c r="I22" s="2"/>
      <c r="J22" s="2"/>
      <c r="K22" s="2"/>
      <c r="L22" s="2"/>
      <c r="M22" s="2"/>
    </row>
    <row r="23" spans="1:13" x14ac:dyDescent="0.25">
      <c r="A23" s="3" t="s">
        <v>10</v>
      </c>
      <c r="B23" s="3">
        <v>12</v>
      </c>
      <c r="C23" s="2"/>
      <c r="D23" s="2"/>
      <c r="E23" s="2"/>
    </row>
    <row r="24" spans="1:13" x14ac:dyDescent="0.25">
      <c r="A24" s="3" t="s">
        <v>22</v>
      </c>
      <c r="B24" s="3">
        <v>20</v>
      </c>
      <c r="C24" s="2"/>
      <c r="D24" s="2"/>
      <c r="E24" s="3">
        <v>0</v>
      </c>
    </row>
    <row r="26" spans="1:13" x14ac:dyDescent="0.25">
      <c r="A26" s="3" t="s">
        <v>26</v>
      </c>
      <c r="B26" s="3" t="s">
        <v>27</v>
      </c>
      <c r="C26" s="3" t="s">
        <v>28</v>
      </c>
      <c r="D26" s="2"/>
      <c r="F26" s="2"/>
      <c r="G26" s="2"/>
      <c r="H26" s="2"/>
      <c r="I26" s="5" t="s">
        <v>20</v>
      </c>
    </row>
    <row r="27" spans="1:13" x14ac:dyDescent="0.25">
      <c r="A27" s="3" t="s">
        <v>29</v>
      </c>
      <c r="B27" s="3">
        <v>10</v>
      </c>
      <c r="C27" s="6">
        <v>20</v>
      </c>
      <c r="D27" s="2" t="s">
        <v>30</v>
      </c>
      <c r="F27" s="2"/>
      <c r="G27" s="2"/>
      <c r="H27" s="2"/>
      <c r="I27" s="2"/>
    </row>
    <row r="28" spans="1:13" ht="25.5" customHeight="1" x14ac:dyDescent="0.25">
      <c r="A28" s="3" t="s">
        <v>31</v>
      </c>
      <c r="B28" s="3">
        <v>21</v>
      </c>
      <c r="C28" s="6">
        <v>7</v>
      </c>
      <c r="D28" s="2"/>
      <c r="F28" s="2">
        <f>AVERAGEIFS(C28:C31,B28:B31,"&gt;10",A28:A31,"&lt;&gt;Papaya")</f>
        <v>9.5</v>
      </c>
      <c r="G28" s="4" t="s">
        <v>34</v>
      </c>
      <c r="H28" s="2"/>
      <c r="I28" s="2" t="e">
        <f>AVERAGEIFS(C27:C31,B27:B31,"&gt;10",A28:A31,"&lt;&gt;papaya")</f>
        <v>#VALUE!</v>
      </c>
    </row>
    <row r="29" spans="1:13" ht="42.75" customHeight="1" x14ac:dyDescent="0.25">
      <c r="A29" s="3" t="s">
        <v>32</v>
      </c>
      <c r="B29" s="3">
        <v>12</v>
      </c>
      <c r="C29" s="6">
        <v>12</v>
      </c>
      <c r="D29" s="2"/>
      <c r="F29" s="2"/>
      <c r="G29" s="4" t="s">
        <v>35</v>
      </c>
      <c r="H29" s="2"/>
      <c r="I29" s="2" t="e">
        <f>AVERAGEIFS(A26:C30,C27:C30,"&gt;15",A28:A30,"*p*")</f>
        <v>#VALUE!</v>
      </c>
    </row>
    <row r="30" spans="1:13" x14ac:dyDescent="0.25">
      <c r="A30" s="3" t="s">
        <v>33</v>
      </c>
      <c r="B30" s="3">
        <v>4</v>
      </c>
      <c r="C30" s="6">
        <v>32</v>
      </c>
      <c r="D30" s="2"/>
    </row>
    <row r="31" spans="1:13" x14ac:dyDescent="0.25">
      <c r="A31" s="2"/>
      <c r="B31" s="2"/>
      <c r="C31" s="2"/>
      <c r="D31" s="2"/>
    </row>
    <row r="32" spans="1:13" x14ac:dyDescent="0.25">
      <c r="A32" s="2"/>
      <c r="B32" s="2"/>
      <c r="C32" s="2" t="b">
        <v>1</v>
      </c>
      <c r="D32" s="2"/>
    </row>
    <row r="33" spans="1:4" x14ac:dyDescent="0.25">
      <c r="A33" s="2"/>
      <c r="B33" s="2"/>
      <c r="C33" s="2" t="b">
        <v>0</v>
      </c>
      <c r="D33" s="2"/>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L16"/>
  <sheetViews>
    <sheetView workbookViewId="0">
      <selection activeCell="E14" sqref="E14"/>
    </sheetView>
  </sheetViews>
  <sheetFormatPr defaultRowHeight="15" x14ac:dyDescent="0.25"/>
  <cols>
    <col min="2" max="5" width="11" customWidth="1"/>
  </cols>
  <sheetData>
    <row r="2" spans="1:12" x14ac:dyDescent="0.25">
      <c r="A2" s="7" t="s">
        <v>37</v>
      </c>
      <c r="B2" s="2" t="s">
        <v>51</v>
      </c>
      <c r="C2" s="2" t="s">
        <v>52</v>
      </c>
      <c r="D2" s="2" t="s">
        <v>53</v>
      </c>
      <c r="E2" s="2" t="s">
        <v>54</v>
      </c>
    </row>
    <row r="3" spans="1:12" x14ac:dyDescent="0.25">
      <c r="A3" s="3" t="s">
        <v>38</v>
      </c>
      <c r="B3" s="3" t="s">
        <v>36</v>
      </c>
      <c r="C3" s="3" t="s">
        <v>39</v>
      </c>
      <c r="D3" s="3" t="s">
        <v>40</v>
      </c>
      <c r="E3" s="3" t="s">
        <v>41</v>
      </c>
      <c r="H3" s="3" t="s">
        <v>49</v>
      </c>
      <c r="I3" s="3" t="s">
        <v>55</v>
      </c>
      <c r="K3" t="str">
        <f>INDEX(B4:B11,L3)</f>
        <v>Brad</v>
      </c>
      <c r="L3">
        <v>4</v>
      </c>
    </row>
    <row r="4" spans="1:12" x14ac:dyDescent="0.25">
      <c r="A4" s="3">
        <v>38</v>
      </c>
      <c r="B4" s="3" t="s">
        <v>42</v>
      </c>
      <c r="C4" s="3">
        <v>66</v>
      </c>
      <c r="D4" s="3">
        <v>49</v>
      </c>
      <c r="E4" s="3">
        <v>58</v>
      </c>
      <c r="H4" t="str">
        <f>INDEX(B4:B11,Table2[[#This Row],[physics]])</f>
        <v>Brad</v>
      </c>
      <c r="I4">
        <v>4</v>
      </c>
    </row>
    <row r="5" spans="1:12" x14ac:dyDescent="0.25">
      <c r="A5" s="3">
        <v>88</v>
      </c>
      <c r="B5" s="3" t="s">
        <v>43</v>
      </c>
      <c r="C5" s="3">
        <v>74</v>
      </c>
      <c r="D5" s="3">
        <v>90</v>
      </c>
      <c r="E5" s="3">
        <v>92</v>
      </c>
      <c r="H5" s="2" t="str">
        <f>INDEX(B5:B12,Table2[[#This Row],[physics]])</f>
        <v>Brad</v>
      </c>
      <c r="I5">
        <f>MATCH(H6,B4:B11,)</f>
        <v>3</v>
      </c>
      <c r="J5">
        <f>INDEX(A4:E11,L5,K5)</f>
        <v>69</v>
      </c>
      <c r="K5">
        <v>5</v>
      </c>
      <c r="L5">
        <v>6</v>
      </c>
    </row>
    <row r="6" spans="1:12" x14ac:dyDescent="0.25">
      <c r="A6" s="3">
        <v>57</v>
      </c>
      <c r="B6" s="3" t="s">
        <v>10</v>
      </c>
      <c r="C6" s="3">
        <v>91</v>
      </c>
      <c r="D6" s="3">
        <v>91</v>
      </c>
      <c r="E6" s="3">
        <v>77</v>
      </c>
      <c r="H6" s="2" t="str">
        <f>INDEX(B6:B13,Table2[[#This Row],[physics]])</f>
        <v>Tom</v>
      </c>
    </row>
    <row r="7" spans="1:12" x14ac:dyDescent="0.25">
      <c r="A7" s="3">
        <v>82</v>
      </c>
      <c r="B7" s="3" t="s">
        <v>44</v>
      </c>
      <c r="C7" s="3">
        <v>45</v>
      </c>
      <c r="D7" s="3">
        <v>95</v>
      </c>
      <c r="E7" s="3">
        <v>56</v>
      </c>
      <c r="H7" s="2" t="str">
        <f>INDEX(B7:B14,Table2[[#This Row],[physics]])</f>
        <v>Brad</v>
      </c>
      <c r="I7" s="8"/>
      <c r="K7" t="s">
        <v>22</v>
      </c>
      <c r="L7">
        <f>MATCH(K7,B4:B11,)</f>
        <v>3</v>
      </c>
    </row>
    <row r="8" spans="1:12" x14ac:dyDescent="0.25">
      <c r="A8" s="3">
        <v>55</v>
      </c>
      <c r="B8" s="3" t="s">
        <v>45</v>
      </c>
      <c r="C8" s="3">
        <v>65</v>
      </c>
      <c r="D8" s="3">
        <v>75</v>
      </c>
      <c r="E8" s="3">
        <v>55</v>
      </c>
      <c r="H8" s="2" t="str">
        <f>INDEX(B8:B15,Table2[[#This Row],[physics]])</f>
        <v>Jenny</v>
      </c>
      <c r="I8" s="8"/>
      <c r="K8" s="2" t="s">
        <v>56</v>
      </c>
      <c r="L8" s="2">
        <f>MATCH(K8,B5:B12,)</f>
        <v>3</v>
      </c>
    </row>
    <row r="9" spans="1:12" x14ac:dyDescent="0.25">
      <c r="A9" s="3">
        <v>44</v>
      </c>
      <c r="B9" s="3" t="s">
        <v>46</v>
      </c>
      <c r="C9" s="3">
        <v>80</v>
      </c>
      <c r="D9" s="3">
        <v>90</v>
      </c>
      <c r="E9" s="3">
        <v>69</v>
      </c>
      <c r="H9" s="2" t="str">
        <f>INDEX(B9:B16,Table2[[#This Row],[physics]])</f>
        <v>Maria</v>
      </c>
      <c r="I9" s="8"/>
      <c r="K9" s="2" t="s">
        <v>56</v>
      </c>
      <c r="L9" s="2">
        <f>MATCH(K9,B6:B13,)</f>
        <v>2</v>
      </c>
    </row>
    <row r="10" spans="1:12" x14ac:dyDescent="0.25">
      <c r="A10" s="3">
        <v>75</v>
      </c>
      <c r="B10" s="3" t="s">
        <v>47</v>
      </c>
      <c r="C10" s="3">
        <v>57</v>
      </c>
      <c r="D10" s="3">
        <v>84</v>
      </c>
      <c r="E10" s="3">
        <v>51</v>
      </c>
      <c r="H10" s="8" t="str">
        <f>INDEX(B10:B17,Table2[[#This Row],[physics]])</f>
        <v>Jill</v>
      </c>
      <c r="I10" s="8"/>
      <c r="L10" s="2" t="e">
        <f>MATCH(K10,B7:B14,)</f>
        <v>#N/A</v>
      </c>
    </row>
    <row r="11" spans="1:12" x14ac:dyDescent="0.25">
      <c r="A11" s="3">
        <v>38</v>
      </c>
      <c r="B11" s="3" t="s">
        <v>48</v>
      </c>
      <c r="C11" s="3">
        <v>51</v>
      </c>
      <c r="D11" s="3">
        <v>56</v>
      </c>
      <c r="E11" s="3">
        <v>37</v>
      </c>
    </row>
    <row r="14" spans="1:12" x14ac:dyDescent="0.25">
      <c r="A14" s="5" t="s">
        <v>58</v>
      </c>
      <c r="G14" s="5" t="s">
        <v>59</v>
      </c>
    </row>
    <row r="15" spans="1:12" x14ac:dyDescent="0.25">
      <c r="A15" t="str">
        <f>INDEX(B4:B11,B15)</f>
        <v>Tom</v>
      </c>
      <c r="B15">
        <v>3</v>
      </c>
      <c r="G15" t="s">
        <v>50</v>
      </c>
      <c r="H15">
        <f>MATCH(G15,B4:B11)</f>
        <v>5</v>
      </c>
    </row>
    <row r="16" spans="1:12" x14ac:dyDescent="0.25">
      <c r="A16" s="2" t="s">
        <v>57</v>
      </c>
      <c r="B16" s="2"/>
      <c r="G16" s="2" t="s">
        <v>22</v>
      </c>
      <c r="H16" s="2">
        <f>MATCH(G16,B4:B11)</f>
        <v>8</v>
      </c>
    </row>
  </sheetData>
  <pageMargins left="0.7" right="0.7" top="0.75" bottom="0.75" header="0.3" footer="0.3"/>
  <pageSetup orientation="portrait" r:id="rId1"/>
  <tableParts count="2">
    <tablePart r:id="rId2"/>
    <tablePart r:id="rId3"/>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L12"/>
  <sheetViews>
    <sheetView workbookViewId="0">
      <selection activeCell="H11" sqref="H11"/>
    </sheetView>
  </sheetViews>
  <sheetFormatPr defaultRowHeight="15" x14ac:dyDescent="0.25"/>
  <cols>
    <col min="1" max="1" width="11" customWidth="1"/>
    <col min="2" max="5" width="10.140625" customWidth="1"/>
    <col min="8" max="9" width="10.140625" customWidth="1"/>
  </cols>
  <sheetData>
    <row r="2" spans="1:12" x14ac:dyDescent="0.25">
      <c r="A2" s="2"/>
      <c r="B2" s="7" t="s">
        <v>37</v>
      </c>
      <c r="C2" s="7"/>
      <c r="D2" s="7"/>
      <c r="E2" s="7"/>
      <c r="H2" s="3" t="s">
        <v>49</v>
      </c>
      <c r="I2" s="3" t="s">
        <v>60</v>
      </c>
      <c r="J2" s="9" t="s">
        <v>55</v>
      </c>
    </row>
    <row r="3" spans="1:12" x14ac:dyDescent="0.25">
      <c r="A3" s="3" t="s">
        <v>36</v>
      </c>
      <c r="B3" s="3" t="s">
        <v>38</v>
      </c>
      <c r="C3" s="3" t="s">
        <v>41</v>
      </c>
      <c r="D3" s="3" t="s">
        <v>39</v>
      </c>
      <c r="E3" s="3" t="s">
        <v>40</v>
      </c>
      <c r="H3" t="s">
        <v>61</v>
      </c>
      <c r="I3">
        <f>INDEX(A3:E11,MATCH(H3,A3:A11,0),2)</f>
        <v>38</v>
      </c>
    </row>
    <row r="4" spans="1:12" x14ac:dyDescent="0.25">
      <c r="A4" s="3" t="s">
        <v>42</v>
      </c>
      <c r="B4" s="3">
        <v>38</v>
      </c>
      <c r="C4" s="3">
        <v>58</v>
      </c>
      <c r="D4" s="3">
        <v>66</v>
      </c>
      <c r="E4" s="3">
        <v>49</v>
      </c>
      <c r="H4" t="s">
        <v>22</v>
      </c>
      <c r="I4" s="2">
        <f>INDEX(A4:E12,MATCH(H4,A4:A12,0),2)</f>
        <v>57</v>
      </c>
    </row>
    <row r="5" spans="1:12" x14ac:dyDescent="0.25">
      <c r="A5" s="3" t="s">
        <v>43</v>
      </c>
      <c r="B5" s="3">
        <v>88</v>
      </c>
      <c r="C5" s="3">
        <v>92</v>
      </c>
      <c r="D5" s="3">
        <v>74</v>
      </c>
      <c r="E5" s="3">
        <v>90</v>
      </c>
      <c r="H5" t="s">
        <v>50</v>
      </c>
      <c r="I5" s="2">
        <f>INDEX(A5:E13,MATCH(H5,A5:A13,0),2)</f>
        <v>75</v>
      </c>
    </row>
    <row r="6" spans="1:12" x14ac:dyDescent="0.25">
      <c r="A6" s="3" t="s">
        <v>10</v>
      </c>
      <c r="B6" s="3">
        <v>57</v>
      </c>
      <c r="C6" s="3">
        <v>77</v>
      </c>
      <c r="D6" s="3">
        <v>91</v>
      </c>
      <c r="E6" s="3">
        <v>91</v>
      </c>
    </row>
    <row r="7" spans="1:12" x14ac:dyDescent="0.25">
      <c r="A7" s="3" t="s">
        <v>44</v>
      </c>
      <c r="B7" s="3">
        <v>82</v>
      </c>
      <c r="C7" s="3">
        <v>56</v>
      </c>
      <c r="D7" s="3">
        <v>45</v>
      </c>
      <c r="E7" s="3">
        <v>95</v>
      </c>
      <c r="H7" s="3" t="s">
        <v>49</v>
      </c>
      <c r="I7" s="3" t="s">
        <v>38</v>
      </c>
      <c r="K7" t="s">
        <v>49</v>
      </c>
      <c r="L7" t="s">
        <v>40</v>
      </c>
    </row>
    <row r="8" spans="1:12" x14ac:dyDescent="0.25">
      <c r="A8" s="3" t="s">
        <v>45</v>
      </c>
      <c r="B8" s="3">
        <v>55</v>
      </c>
      <c r="C8" s="3">
        <v>55</v>
      </c>
      <c r="D8" s="3">
        <v>65</v>
      </c>
      <c r="E8" s="3">
        <v>75</v>
      </c>
      <c r="H8" s="3" t="s">
        <v>56</v>
      </c>
      <c r="I8" s="3">
        <f>INDEX(A3:E11,MATCH(H8,A3:A11,0),MATCH(I7,A3:E3,0))</f>
        <v>82</v>
      </c>
      <c r="K8" t="s">
        <v>56</v>
      </c>
      <c r="L8">
        <f>INDEX(Table3[#All],MATCH(K8,A3:A11,0),MATCH(L7,A3:E3,0))</f>
        <v>91</v>
      </c>
    </row>
    <row r="9" spans="1:12" x14ac:dyDescent="0.25">
      <c r="A9" s="3" t="s">
        <v>46</v>
      </c>
      <c r="B9" s="3">
        <v>44</v>
      </c>
      <c r="C9" s="3">
        <v>69</v>
      </c>
      <c r="D9" s="3">
        <v>80</v>
      </c>
      <c r="E9" s="3">
        <v>90</v>
      </c>
      <c r="H9" s="3"/>
      <c r="I9" s="3"/>
      <c r="K9" t="s">
        <v>22</v>
      </c>
      <c r="L9" s="2" t="e">
        <f>INDEX(A3:E11,MATCH(K10,A3:A11,0),)</f>
        <v>#VALUE!</v>
      </c>
    </row>
    <row r="10" spans="1:12" x14ac:dyDescent="0.25">
      <c r="A10" s="3" t="s">
        <v>47</v>
      </c>
      <c r="B10" s="3">
        <v>75</v>
      </c>
      <c r="C10" s="3">
        <v>51</v>
      </c>
      <c r="D10" s="3">
        <v>57</v>
      </c>
      <c r="E10" s="3">
        <v>84</v>
      </c>
      <c r="H10" s="3"/>
      <c r="I10" s="3"/>
      <c r="K10" t="s">
        <v>50</v>
      </c>
      <c r="L10" s="2"/>
    </row>
    <row r="11" spans="1:12" x14ac:dyDescent="0.25">
      <c r="A11" s="3" t="s">
        <v>48</v>
      </c>
      <c r="B11" s="3">
        <v>38</v>
      </c>
      <c r="C11" s="3">
        <v>37</v>
      </c>
      <c r="D11" s="3">
        <v>51</v>
      </c>
      <c r="E11" s="3">
        <v>56</v>
      </c>
      <c r="H11" s="3"/>
      <c r="I11" s="3"/>
      <c r="L11" s="2"/>
    </row>
    <row r="12" spans="1:12" x14ac:dyDescent="0.25">
      <c r="L12" s="2"/>
    </row>
  </sheetData>
  <dataValidations count="1">
    <dataValidation type="list" allowBlank="1" showInputMessage="1" showErrorMessage="1" sqref="I7 L7">
      <formula1>$B$3:$E$3</formula1>
    </dataValidation>
  </dataValidations>
  <pageMargins left="0.7" right="0.7" top="0.75" bottom="0.75" header="0.3" footer="0.3"/>
  <tableParts count="3">
    <tablePart r:id="rId1"/>
    <tablePart r:id="rId2"/>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H18"/>
  <sheetViews>
    <sheetView workbookViewId="0">
      <selection activeCell="C10" sqref="C10"/>
    </sheetView>
  </sheetViews>
  <sheetFormatPr defaultRowHeight="15" x14ac:dyDescent="0.25"/>
  <cols>
    <col min="1" max="1" width="20.7109375" customWidth="1"/>
    <col min="3" max="3" width="17.7109375" customWidth="1"/>
    <col min="4" max="4" width="13.42578125" customWidth="1"/>
    <col min="6" max="6" width="16.42578125" customWidth="1"/>
    <col min="7" max="7" width="17.42578125" customWidth="1"/>
  </cols>
  <sheetData>
    <row r="2" spans="1:8" x14ac:dyDescent="0.25">
      <c r="A2" s="5" t="s">
        <v>62</v>
      </c>
      <c r="C2" s="5" t="s">
        <v>63</v>
      </c>
      <c r="G2" t="s">
        <v>74</v>
      </c>
    </row>
    <row r="3" spans="1:8" x14ac:dyDescent="0.25">
      <c r="G3" t="s">
        <v>75</v>
      </c>
    </row>
    <row r="4" spans="1:8" x14ac:dyDescent="0.25">
      <c r="A4" t="b">
        <f>AND(1,1,1)</f>
        <v>1</v>
      </c>
      <c r="C4" t="b">
        <f>ISBLANK(A2)</f>
        <v>0</v>
      </c>
      <c r="G4" t="s">
        <v>76</v>
      </c>
    </row>
    <row r="5" spans="1:8" x14ac:dyDescent="0.25">
      <c r="A5" t="b">
        <f>AND(1,1,0)</f>
        <v>0</v>
      </c>
      <c r="C5" t="b">
        <f>ISBLANK(A3)</f>
        <v>1</v>
      </c>
    </row>
    <row r="7" spans="1:8" ht="18.75" x14ac:dyDescent="0.3">
      <c r="A7" s="10" t="s">
        <v>64</v>
      </c>
    </row>
    <row r="8" spans="1:8" x14ac:dyDescent="0.25">
      <c r="A8" t="s">
        <v>81</v>
      </c>
      <c r="C8" t="s">
        <v>65</v>
      </c>
      <c r="D8" s="2" t="s">
        <v>66</v>
      </c>
      <c r="E8" t="s">
        <v>67</v>
      </c>
      <c r="F8" t="s">
        <v>68</v>
      </c>
      <c r="G8" t="s">
        <v>69</v>
      </c>
      <c r="H8" t="s">
        <v>51</v>
      </c>
    </row>
    <row r="9" spans="1:8" x14ac:dyDescent="0.25">
      <c r="A9" t="s">
        <v>82</v>
      </c>
      <c r="C9">
        <v>10</v>
      </c>
      <c r="D9" t="s">
        <v>70</v>
      </c>
      <c r="E9" s="11">
        <v>36527</v>
      </c>
      <c r="F9" t="s">
        <v>72</v>
      </c>
      <c r="G9" t="s">
        <v>75</v>
      </c>
    </row>
    <row r="10" spans="1:8" x14ac:dyDescent="0.25">
      <c r="A10" t="s">
        <v>83</v>
      </c>
      <c r="C10">
        <v>15</v>
      </c>
      <c r="D10" t="s">
        <v>71</v>
      </c>
      <c r="E10" s="11">
        <v>36557</v>
      </c>
      <c r="F10" t="s">
        <v>73</v>
      </c>
      <c r="G10" t="s">
        <v>76</v>
      </c>
    </row>
    <row r="11" spans="1:8" x14ac:dyDescent="0.25">
      <c r="A11" t="s">
        <v>84</v>
      </c>
      <c r="C11">
        <v>90</v>
      </c>
      <c r="E11" s="11">
        <v>36527</v>
      </c>
    </row>
    <row r="12" spans="1:8" x14ac:dyDescent="0.25">
      <c r="A12" t="s">
        <v>85</v>
      </c>
      <c r="C12">
        <v>100</v>
      </c>
    </row>
    <row r="13" spans="1:8" x14ac:dyDescent="0.25">
      <c r="A13" t="s">
        <v>86</v>
      </c>
    </row>
    <row r="14" spans="1:8" x14ac:dyDescent="0.25">
      <c r="A14" t="s">
        <v>87</v>
      </c>
    </row>
    <row r="15" spans="1:8" x14ac:dyDescent="0.25">
      <c r="A15" t="s">
        <v>77</v>
      </c>
    </row>
    <row r="16" spans="1:8" x14ac:dyDescent="0.25">
      <c r="A16" t="s">
        <v>78</v>
      </c>
    </row>
    <row r="17" spans="1:1" x14ac:dyDescent="0.25">
      <c r="A17" t="s">
        <v>79</v>
      </c>
    </row>
    <row r="18" spans="1:1" x14ac:dyDescent="0.25">
      <c r="A18" t="s">
        <v>80</v>
      </c>
    </row>
  </sheetData>
  <dataValidations count="5">
    <dataValidation type="whole" allowBlank="1" showInputMessage="1" showErrorMessage="1" errorTitle="Not Valid" error="Enter Nos between 10 to 100" promptTitle="Information" prompt="Please enter number between 10 to 100_x000a_" sqref="C9:C12">
      <formula1>10</formula1>
      <formula2>100</formula2>
    </dataValidation>
    <dataValidation type="textLength" allowBlank="1" showInputMessage="1" showErrorMessage="1" sqref="D9:D12">
      <formula1>5</formula1>
      <formula2>10</formula2>
    </dataValidation>
    <dataValidation type="date" allowBlank="1" showInputMessage="1" showErrorMessage="1" sqref="E9:E12">
      <formula1>36526</formula1>
      <formula2>36892</formula2>
    </dataValidation>
    <dataValidation type="list" allowBlank="1" showInputMessage="1" showErrorMessage="1" sqref="F9:F12">
      <formula1>"India,Australia,China,Dubai"</formula1>
    </dataValidation>
    <dataValidation type="list" allowBlank="1" showInputMessage="1" showErrorMessage="1" sqref="G9:G12">
      <formula1>$G$2:$G$4</formula1>
    </dataValidation>
  </dataValidations>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11"/>
  <sheetViews>
    <sheetView workbookViewId="0">
      <selection activeCell="B5" sqref="B5"/>
    </sheetView>
  </sheetViews>
  <sheetFormatPr defaultRowHeight="15" x14ac:dyDescent="0.25"/>
  <cols>
    <col min="1" max="3" width="11" customWidth="1"/>
  </cols>
  <sheetData>
    <row r="1" spans="1:4" ht="18.75" x14ac:dyDescent="0.3">
      <c r="A1" s="10" t="s">
        <v>88</v>
      </c>
    </row>
    <row r="3" spans="1:4" x14ac:dyDescent="0.25">
      <c r="A3" s="12"/>
    </row>
    <row r="4" spans="1:4" x14ac:dyDescent="0.25">
      <c r="A4" t="s">
        <v>36</v>
      </c>
      <c r="B4" t="s">
        <v>94</v>
      </c>
    </row>
    <row r="5" spans="1:4" x14ac:dyDescent="0.25">
      <c r="A5" t="s">
        <v>89</v>
      </c>
      <c r="B5">
        <v>45</v>
      </c>
    </row>
    <row r="6" spans="1:4" x14ac:dyDescent="0.25">
      <c r="A6" t="s">
        <v>90</v>
      </c>
    </row>
    <row r="9" spans="1:4" x14ac:dyDescent="0.25">
      <c r="B9" t="b">
        <f>NOT(ISBLANK(B4))</f>
        <v>1</v>
      </c>
      <c r="D9" t="s">
        <v>91</v>
      </c>
    </row>
    <row r="10" spans="1:4" x14ac:dyDescent="0.25">
      <c r="B10" t="b">
        <f>IF($B$5&gt;=1,IF($B$5&lt;=100,TRUE,FALSE),FALSE)</f>
        <v>1</v>
      </c>
      <c r="D10" t="s">
        <v>92</v>
      </c>
    </row>
    <row r="11" spans="1:4" x14ac:dyDescent="0.25">
      <c r="B11" t="b">
        <f>AND(IF($B$5&gt;=1,IF($B$5&lt;=100,TRUE,FALSE),FALSE)*NOT(ISBLANK($B4)))</f>
        <v>1</v>
      </c>
      <c r="D11" t="s">
        <v>93</v>
      </c>
    </row>
  </sheetData>
  <dataValidations count="1">
    <dataValidation type="whole" allowBlank="1" showInputMessage="1" showErrorMessage="1" sqref="B5">
      <formula1>1</formula1>
      <formula2>100</formula2>
    </dataValidation>
  </dataValidations>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D27"/>
  <sheetViews>
    <sheetView workbookViewId="0">
      <selection activeCell="M7" sqref="M7"/>
    </sheetView>
  </sheetViews>
  <sheetFormatPr defaultRowHeight="15" x14ac:dyDescent="0.25"/>
  <cols>
    <col min="1" max="1" width="13.140625" customWidth="1"/>
    <col min="2" max="2" width="9.28515625" customWidth="1"/>
    <col min="4" max="4" width="15.140625" customWidth="1"/>
  </cols>
  <sheetData>
    <row r="2" spans="1:4" x14ac:dyDescent="0.25">
      <c r="A2" s="13" t="s">
        <v>95</v>
      </c>
      <c r="B2" s="2" t="s">
        <v>96</v>
      </c>
      <c r="C2" s="2" t="s">
        <v>97</v>
      </c>
      <c r="D2" s="2" t="s">
        <v>67</v>
      </c>
    </row>
    <row r="3" spans="1:4" x14ac:dyDescent="0.25">
      <c r="A3" s="13" t="s">
        <v>43</v>
      </c>
      <c r="B3" s="2" t="s">
        <v>98</v>
      </c>
      <c r="C3" s="2">
        <v>906</v>
      </c>
      <c r="D3" s="14">
        <v>45658</v>
      </c>
    </row>
    <row r="4" spans="1:4" x14ac:dyDescent="0.25">
      <c r="A4" s="2" t="s">
        <v>99</v>
      </c>
      <c r="B4" s="2" t="s">
        <v>73</v>
      </c>
      <c r="C4" s="2">
        <v>233</v>
      </c>
      <c r="D4" s="14">
        <v>45659</v>
      </c>
    </row>
    <row r="5" spans="1:4" x14ac:dyDescent="0.25">
      <c r="A5" s="2" t="s">
        <v>101</v>
      </c>
      <c r="B5" s="2" t="s">
        <v>100</v>
      </c>
      <c r="C5" s="2">
        <v>991</v>
      </c>
      <c r="D5" s="14">
        <v>44929</v>
      </c>
    </row>
    <row r="6" spans="1:4" x14ac:dyDescent="0.25">
      <c r="A6" s="2" t="s">
        <v>43</v>
      </c>
      <c r="B6" s="2" t="s">
        <v>98</v>
      </c>
      <c r="C6" s="2">
        <v>430</v>
      </c>
      <c r="D6" s="14">
        <v>45661</v>
      </c>
    </row>
    <row r="7" spans="1:4" x14ac:dyDescent="0.25">
      <c r="A7" s="2" t="s">
        <v>102</v>
      </c>
      <c r="B7" s="2" t="s">
        <v>100</v>
      </c>
      <c r="C7" s="2">
        <v>538</v>
      </c>
      <c r="D7" s="14">
        <v>45662</v>
      </c>
    </row>
    <row r="8" spans="1:4" x14ac:dyDescent="0.25">
      <c r="A8" s="2" t="s">
        <v>103</v>
      </c>
      <c r="B8" s="2" t="s">
        <v>106</v>
      </c>
      <c r="C8" s="2">
        <v>423</v>
      </c>
      <c r="D8" s="14">
        <v>45753</v>
      </c>
    </row>
    <row r="9" spans="1:4" x14ac:dyDescent="0.25">
      <c r="A9" s="2" t="s">
        <v>43</v>
      </c>
      <c r="B9" s="2" t="s">
        <v>107</v>
      </c>
      <c r="C9" s="2">
        <v>783</v>
      </c>
      <c r="D9" s="14">
        <v>45751</v>
      </c>
    </row>
    <row r="10" spans="1:4" x14ac:dyDescent="0.25">
      <c r="A10" s="2" t="s">
        <v>104</v>
      </c>
      <c r="B10" s="2" t="s">
        <v>100</v>
      </c>
      <c r="C10" s="2">
        <v>782</v>
      </c>
      <c r="D10" s="14">
        <v>44934</v>
      </c>
    </row>
    <row r="11" spans="1:4" x14ac:dyDescent="0.25">
      <c r="A11" s="2" t="s">
        <v>103</v>
      </c>
      <c r="B11" s="2" t="s">
        <v>98</v>
      </c>
      <c r="C11" s="2">
        <v>782</v>
      </c>
      <c r="D11" s="14">
        <v>44935</v>
      </c>
    </row>
    <row r="12" spans="1:4" x14ac:dyDescent="0.25">
      <c r="A12" s="2" t="s">
        <v>105</v>
      </c>
      <c r="B12" s="2" t="s">
        <v>98</v>
      </c>
      <c r="C12" s="2">
        <v>450</v>
      </c>
      <c r="D12" s="14">
        <v>44936</v>
      </c>
    </row>
    <row r="13" spans="1:4" x14ac:dyDescent="0.25">
      <c r="A13" s="2" t="s">
        <v>43</v>
      </c>
      <c r="B13" s="2" t="s">
        <v>73</v>
      </c>
      <c r="C13" s="2">
        <v>391</v>
      </c>
      <c r="D13" s="14">
        <v>44937</v>
      </c>
    </row>
    <row r="14" spans="1:4" x14ac:dyDescent="0.25">
      <c r="A14" s="2" t="s">
        <v>101</v>
      </c>
      <c r="B14" s="2" t="s">
        <v>72</v>
      </c>
      <c r="C14" s="2">
        <v>301</v>
      </c>
      <c r="D14" s="14">
        <v>44938</v>
      </c>
    </row>
    <row r="15" spans="1:4" x14ac:dyDescent="0.25">
      <c r="A15" s="2" t="s">
        <v>99</v>
      </c>
      <c r="B15" s="2" t="s">
        <v>72</v>
      </c>
      <c r="C15" s="2">
        <v>301</v>
      </c>
      <c r="D15" s="14">
        <v>44939</v>
      </c>
    </row>
    <row r="16" spans="1:4" x14ac:dyDescent="0.25">
      <c r="A16" s="2" t="s">
        <v>105</v>
      </c>
      <c r="B16" s="2" t="s">
        <v>98</v>
      </c>
      <c r="C16" s="2">
        <v>632</v>
      </c>
      <c r="D16" s="14">
        <v>44940</v>
      </c>
    </row>
    <row r="17" spans="1:4" x14ac:dyDescent="0.25">
      <c r="A17" s="2" t="s">
        <v>43</v>
      </c>
      <c r="B17" s="2" t="s">
        <v>100</v>
      </c>
      <c r="C17" s="2">
        <v>157</v>
      </c>
      <c r="D17" s="14">
        <v>44941</v>
      </c>
    </row>
    <row r="18" spans="1:4" x14ac:dyDescent="0.25">
      <c r="A18" s="2" t="s">
        <v>103</v>
      </c>
      <c r="B18" s="2" t="s">
        <v>98</v>
      </c>
      <c r="C18" s="2">
        <v>289</v>
      </c>
      <c r="D18" s="14">
        <v>44942</v>
      </c>
    </row>
    <row r="19" spans="1:4" x14ac:dyDescent="0.25">
      <c r="A19" s="2" t="s">
        <v>105</v>
      </c>
      <c r="B19" s="2" t="s">
        <v>76</v>
      </c>
      <c r="C19" s="2">
        <v>791</v>
      </c>
      <c r="D19" s="14">
        <v>44943</v>
      </c>
    </row>
    <row r="20" spans="1:4" x14ac:dyDescent="0.25">
      <c r="A20" s="2" t="s">
        <v>99</v>
      </c>
      <c r="B20" s="2" t="s">
        <v>76</v>
      </c>
      <c r="C20" s="2">
        <v>542</v>
      </c>
      <c r="D20" s="14">
        <v>44944</v>
      </c>
    </row>
    <row r="21" spans="1:4" x14ac:dyDescent="0.25">
      <c r="A21" s="2" t="s">
        <v>43</v>
      </c>
      <c r="B21" s="2" t="s">
        <v>98</v>
      </c>
      <c r="C21" s="2">
        <v>722</v>
      </c>
      <c r="D21" s="14">
        <v>44945</v>
      </c>
    </row>
    <row r="22" spans="1:4" x14ac:dyDescent="0.25">
      <c r="A22" s="2" t="s">
        <v>105</v>
      </c>
      <c r="B22" s="2" t="s">
        <v>100</v>
      </c>
      <c r="C22" s="2">
        <v>529</v>
      </c>
      <c r="D22" s="14">
        <v>44946</v>
      </c>
    </row>
    <row r="23" spans="1:4" x14ac:dyDescent="0.25">
      <c r="A23" s="2" t="s">
        <v>101</v>
      </c>
      <c r="B23" s="2" t="s">
        <v>98</v>
      </c>
      <c r="C23" s="2">
        <v>693</v>
      </c>
      <c r="D23" s="14">
        <v>44947</v>
      </c>
    </row>
    <row r="24" spans="1:4" x14ac:dyDescent="0.25">
      <c r="D24" s="14">
        <v>44948</v>
      </c>
    </row>
    <row r="25" spans="1:4" x14ac:dyDescent="0.25">
      <c r="D25" s="14">
        <v>44949</v>
      </c>
    </row>
    <row r="26" spans="1:4" x14ac:dyDescent="0.25">
      <c r="D26" s="14">
        <v>44950</v>
      </c>
    </row>
    <row r="27" spans="1:4" x14ac:dyDescent="0.25">
      <c r="D27" s="14">
        <v>44951</v>
      </c>
    </row>
  </sheetData>
  <dataConsolidate/>
  <conditionalFormatting sqref="A2:D2 A24:D27 B3:D23">
    <cfRule type="expression" dxfId="14" priority="8">
      <formula>lseven(ROW($A$2))</formula>
    </cfRule>
  </conditionalFormatting>
  <conditionalFormatting sqref="A3:A23">
    <cfRule type="uniqueValues" dxfId="13" priority="5"/>
  </conditionalFormatting>
  <conditionalFormatting sqref="C3:C23">
    <cfRule type="dataBar" priority="3">
      <dataBar>
        <cfvo type="min"/>
        <cfvo type="max"/>
        <color rgb="FFFF555A"/>
      </dataBar>
      <extLst>
        <ext xmlns:x14="http://schemas.microsoft.com/office/spreadsheetml/2009/9/main" uri="{B025F937-C7B1-47D3-B67F-A62EFF666E3E}">
          <x14:id>{F811569A-C22B-4C91-A72E-12A122D7263F}</x14:id>
        </ext>
      </extLst>
    </cfRule>
    <cfRule type="top10" dxfId="12" priority="4" rank="10"/>
  </conditionalFormatting>
  <conditionalFormatting sqref="D3:D27">
    <cfRule type="timePeriod" dxfId="11" priority="2" timePeriod="thisMonth">
      <formula>AND(MONTH(D3)=MONTH(TODAY()),YEAR(D3)=YEAR(TODAY()))</formula>
    </cfRule>
  </conditionalFormatting>
  <pageMargins left="0.7" right="0.7" top="0.75" bottom="0.75" header="0.3" footer="0.3"/>
  <tableParts count="1">
    <tablePart r:id="rId1"/>
  </tableParts>
  <extLst>
    <ext xmlns:x14="http://schemas.microsoft.com/office/spreadsheetml/2009/9/main" uri="{78C0D931-6437-407d-A8EE-F0AAD7539E65}">
      <x14:conditionalFormattings>
        <x14:conditionalFormatting xmlns:xm="http://schemas.microsoft.com/office/excel/2006/main">
          <x14:cfRule type="dataBar" id="{F811569A-C22B-4C91-A72E-12A122D7263F}">
            <x14:dataBar minLength="0" maxLength="100" border="1" negativeBarBorderColorSameAsPositive="0">
              <x14:cfvo type="autoMin"/>
              <x14:cfvo type="autoMax"/>
              <x14:borderColor rgb="FFFF555A"/>
              <x14:negativeFillColor rgb="FFFF0000"/>
              <x14:negativeBorderColor rgb="FFFF0000"/>
              <x14:axisColor rgb="FF000000"/>
            </x14:dataBar>
          </x14:cfRule>
          <xm:sqref>C3:C23</xm:sqref>
        </x14:conditionalFormatting>
        <x14:conditionalFormatting xmlns:xm="http://schemas.microsoft.com/office/excel/2006/main">
          <x14:cfRule type="iconSet" priority="1" id="{EE6779B7-0511-4F7A-AB75-436770ADFB01}">
            <x14:iconSet iconSet="3Stars">
              <x14:cfvo type="percent">
                <xm:f>0</xm:f>
              </x14:cfvo>
              <x14:cfvo type="percent">
                <xm:f>33</xm:f>
              </x14:cfvo>
              <x14:cfvo type="percent">
                <xm:f>67</xm:f>
              </x14:cfvo>
            </x14:iconSet>
          </x14:cfRule>
          <xm:sqref>A2:D2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3"/>
  <sheetViews>
    <sheetView workbookViewId="0">
      <selection activeCell="G12" sqref="G12"/>
    </sheetView>
  </sheetViews>
  <sheetFormatPr defaultRowHeight="15" x14ac:dyDescent="0.25"/>
  <cols>
    <col min="1" max="1" width="14.28515625" customWidth="1"/>
    <col min="2" max="2" width="9.28515625" customWidth="1"/>
  </cols>
  <sheetData>
    <row r="1" spans="1:3" x14ac:dyDescent="0.25">
      <c r="A1" t="s">
        <v>95</v>
      </c>
      <c r="B1" t="s">
        <v>96</v>
      </c>
      <c r="C1" t="s">
        <v>97</v>
      </c>
    </row>
    <row r="2" spans="1:3" x14ac:dyDescent="0.25">
      <c r="A2" t="s">
        <v>99</v>
      </c>
      <c r="B2" t="s">
        <v>72</v>
      </c>
      <c r="C2">
        <v>301</v>
      </c>
    </row>
    <row r="3" spans="1:3" x14ac:dyDescent="0.25">
      <c r="A3" t="s">
        <v>99</v>
      </c>
      <c r="B3" t="s">
        <v>73</v>
      </c>
      <c r="C3">
        <v>233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6"/>
  <sheetViews>
    <sheetView workbookViewId="0">
      <selection activeCell="A2" sqref="A2:C12"/>
    </sheetView>
  </sheetViews>
  <sheetFormatPr defaultRowHeight="15" x14ac:dyDescent="0.25"/>
  <cols>
    <col min="6" max="6" width="13.140625" bestFit="1" customWidth="1"/>
    <col min="7" max="7" width="17.85546875" customWidth="1"/>
    <col min="8" max="8" width="7.42578125" customWidth="1"/>
    <col min="9" max="9" width="13.140625" customWidth="1"/>
    <col min="10" max="10" width="14.42578125" customWidth="1"/>
    <col min="11" max="11" width="12.140625" customWidth="1"/>
    <col min="12" max="28" width="4" customWidth="1"/>
    <col min="29" max="29" width="11.28515625" bestFit="1" customWidth="1"/>
  </cols>
  <sheetData>
    <row r="1" spans="1:11" x14ac:dyDescent="0.25">
      <c r="A1" s="13" t="s">
        <v>95</v>
      </c>
      <c r="B1" s="2" t="s">
        <v>96</v>
      </c>
      <c r="C1" s="2" t="s">
        <v>97</v>
      </c>
      <c r="D1" s="2"/>
      <c r="F1" s="15" t="s">
        <v>96</v>
      </c>
      <c r="G1" s="2" t="s">
        <v>111</v>
      </c>
    </row>
    <row r="2" spans="1:11" x14ac:dyDescent="0.25">
      <c r="A2" s="13" t="s">
        <v>43</v>
      </c>
      <c r="B2" s="2" t="s">
        <v>98</v>
      </c>
      <c r="C2" s="2">
        <v>906</v>
      </c>
      <c r="D2" s="14"/>
    </row>
    <row r="3" spans="1:11" x14ac:dyDescent="0.25">
      <c r="A3" s="2" t="s">
        <v>99</v>
      </c>
      <c r="B3" s="2" t="s">
        <v>73</v>
      </c>
      <c r="C3" s="2">
        <v>233</v>
      </c>
      <c r="D3" s="14"/>
      <c r="F3" s="15" t="s">
        <v>108</v>
      </c>
      <c r="G3" t="s">
        <v>110</v>
      </c>
      <c r="I3" s="15" t="s">
        <v>96</v>
      </c>
      <c r="J3" s="15" t="s">
        <v>95</v>
      </c>
      <c r="K3" t="s">
        <v>110</v>
      </c>
    </row>
    <row r="4" spans="1:11" x14ac:dyDescent="0.25">
      <c r="A4" s="2" t="s">
        <v>101</v>
      </c>
      <c r="B4" s="2" t="s">
        <v>100</v>
      </c>
      <c r="C4" s="2">
        <v>991</v>
      </c>
      <c r="D4" s="14"/>
      <c r="F4" s="16" t="s">
        <v>43</v>
      </c>
      <c r="G4" s="8">
        <v>548</v>
      </c>
      <c r="I4" s="2" t="s">
        <v>73</v>
      </c>
      <c r="J4" s="2" t="s">
        <v>43</v>
      </c>
      <c r="K4" s="8">
        <v>391</v>
      </c>
    </row>
    <row r="5" spans="1:11" x14ac:dyDescent="0.25">
      <c r="A5" s="2" t="s">
        <v>43</v>
      </c>
      <c r="B5" s="2" t="s">
        <v>98</v>
      </c>
      <c r="C5" s="2">
        <v>430</v>
      </c>
      <c r="D5" s="14"/>
      <c r="F5" s="16" t="s">
        <v>99</v>
      </c>
      <c r="G5" s="8">
        <v>534</v>
      </c>
      <c r="J5" s="2" t="s">
        <v>99</v>
      </c>
      <c r="K5" s="8">
        <v>233</v>
      </c>
    </row>
    <row r="6" spans="1:11" x14ac:dyDescent="0.25">
      <c r="A6" s="2" t="s">
        <v>102</v>
      </c>
      <c r="B6" s="2" t="s">
        <v>100</v>
      </c>
      <c r="C6" s="2">
        <v>538</v>
      </c>
      <c r="D6" s="14"/>
      <c r="F6" s="16" t="s">
        <v>104</v>
      </c>
      <c r="G6" s="8">
        <v>782</v>
      </c>
      <c r="I6" s="2" t="s">
        <v>100</v>
      </c>
      <c r="J6" s="2" t="s">
        <v>43</v>
      </c>
      <c r="K6" s="8">
        <v>157</v>
      </c>
    </row>
    <row r="7" spans="1:11" x14ac:dyDescent="0.25">
      <c r="A7" s="2" t="s">
        <v>103</v>
      </c>
      <c r="B7" s="2" t="s">
        <v>106</v>
      </c>
      <c r="C7" s="2">
        <v>423</v>
      </c>
      <c r="D7" s="14"/>
      <c r="F7" s="16" t="s">
        <v>101</v>
      </c>
      <c r="G7" s="8">
        <v>1292</v>
      </c>
      <c r="J7" s="2" t="s">
        <v>104</v>
      </c>
      <c r="K7" s="8">
        <v>782</v>
      </c>
    </row>
    <row r="8" spans="1:11" x14ac:dyDescent="0.25">
      <c r="A8" s="2" t="s">
        <v>43</v>
      </c>
      <c r="B8" s="2" t="s">
        <v>107</v>
      </c>
      <c r="C8" s="2">
        <v>783</v>
      </c>
      <c r="D8" s="14"/>
      <c r="F8" s="16" t="s">
        <v>105</v>
      </c>
      <c r="G8" s="8">
        <v>529</v>
      </c>
      <c r="J8" s="2" t="s">
        <v>101</v>
      </c>
      <c r="K8" s="8">
        <v>991</v>
      </c>
    </row>
    <row r="9" spans="1:11" x14ac:dyDescent="0.25">
      <c r="A9" s="2" t="s">
        <v>104</v>
      </c>
      <c r="B9" s="2" t="s">
        <v>100</v>
      </c>
      <c r="C9" s="2">
        <v>782</v>
      </c>
      <c r="D9" s="14"/>
      <c r="F9" s="16" t="s">
        <v>102</v>
      </c>
      <c r="G9" s="8">
        <v>538</v>
      </c>
      <c r="J9" s="2" t="s">
        <v>105</v>
      </c>
      <c r="K9" s="8">
        <v>529</v>
      </c>
    </row>
    <row r="10" spans="1:11" x14ac:dyDescent="0.25">
      <c r="A10" s="2" t="s">
        <v>103</v>
      </c>
      <c r="B10" s="2" t="s">
        <v>98</v>
      </c>
      <c r="C10" s="2">
        <v>782</v>
      </c>
      <c r="D10" s="14"/>
      <c r="F10" s="16" t="s">
        <v>109</v>
      </c>
      <c r="G10" s="8">
        <v>4223</v>
      </c>
      <c r="J10" s="2" t="s">
        <v>102</v>
      </c>
      <c r="K10" s="8">
        <v>538</v>
      </c>
    </row>
    <row r="11" spans="1:11" x14ac:dyDescent="0.25">
      <c r="A11" s="2" t="s">
        <v>105</v>
      </c>
      <c r="B11" s="2" t="s">
        <v>98</v>
      </c>
      <c r="C11" s="2">
        <v>450</v>
      </c>
      <c r="D11" s="14"/>
      <c r="I11" s="2" t="s">
        <v>76</v>
      </c>
      <c r="J11" s="2" t="s">
        <v>99</v>
      </c>
      <c r="K11" s="8">
        <v>542</v>
      </c>
    </row>
    <row r="12" spans="1:11" x14ac:dyDescent="0.25">
      <c r="A12" s="2" t="s">
        <v>43</v>
      </c>
      <c r="B12" s="2" t="s">
        <v>73</v>
      </c>
      <c r="C12" s="2">
        <v>391</v>
      </c>
      <c r="D12" s="14"/>
      <c r="J12" s="2" t="s">
        <v>105</v>
      </c>
      <c r="K12" s="8">
        <v>791</v>
      </c>
    </row>
    <row r="13" spans="1:11" x14ac:dyDescent="0.25">
      <c r="A13" s="2" t="s">
        <v>101</v>
      </c>
      <c r="B13" s="2" t="s">
        <v>72</v>
      </c>
      <c r="C13" s="2">
        <v>301</v>
      </c>
      <c r="D13" s="14"/>
      <c r="I13" s="2" t="s">
        <v>72</v>
      </c>
      <c r="J13" s="2" t="s">
        <v>99</v>
      </c>
      <c r="K13" s="8">
        <v>301</v>
      </c>
    </row>
    <row r="14" spans="1:11" x14ac:dyDescent="0.25">
      <c r="A14" s="2" t="s">
        <v>99</v>
      </c>
      <c r="B14" s="2" t="s">
        <v>72</v>
      </c>
      <c r="C14" s="2">
        <v>301</v>
      </c>
      <c r="D14" s="14"/>
      <c r="J14" s="2" t="s">
        <v>101</v>
      </c>
      <c r="K14" s="8">
        <v>301</v>
      </c>
    </row>
    <row r="15" spans="1:11" x14ac:dyDescent="0.25">
      <c r="A15" s="2" t="s">
        <v>105</v>
      </c>
      <c r="B15" s="2" t="s">
        <v>98</v>
      </c>
      <c r="C15" s="2">
        <v>632</v>
      </c>
      <c r="D15" s="14"/>
      <c r="I15" s="2" t="s">
        <v>107</v>
      </c>
      <c r="J15" s="2" t="s">
        <v>43</v>
      </c>
      <c r="K15" s="8">
        <v>783</v>
      </c>
    </row>
    <row r="16" spans="1:11" x14ac:dyDescent="0.25">
      <c r="A16" s="2" t="s">
        <v>43</v>
      </c>
      <c r="B16" s="2" t="s">
        <v>100</v>
      </c>
      <c r="C16" s="2">
        <v>157</v>
      </c>
      <c r="D16" s="14"/>
      <c r="I16" s="2" t="s">
        <v>106</v>
      </c>
      <c r="J16" s="2" t="s">
        <v>103</v>
      </c>
      <c r="K16" s="8">
        <v>423</v>
      </c>
    </row>
    <row r="17" spans="1:11" x14ac:dyDescent="0.25">
      <c r="A17" s="2" t="s">
        <v>103</v>
      </c>
      <c r="B17" s="2" t="s">
        <v>98</v>
      </c>
      <c r="C17" s="2">
        <v>289</v>
      </c>
      <c r="D17" s="14"/>
      <c r="I17" s="2" t="s">
        <v>98</v>
      </c>
      <c r="J17" s="2" t="s">
        <v>43</v>
      </c>
      <c r="K17" s="8">
        <v>2058</v>
      </c>
    </row>
    <row r="18" spans="1:11" x14ac:dyDescent="0.25">
      <c r="A18" s="2" t="s">
        <v>105</v>
      </c>
      <c r="B18" s="2" t="s">
        <v>76</v>
      </c>
      <c r="C18" s="2">
        <v>791</v>
      </c>
      <c r="D18" s="14"/>
      <c r="J18" s="2" t="s">
        <v>101</v>
      </c>
      <c r="K18" s="8">
        <v>693</v>
      </c>
    </row>
    <row r="19" spans="1:11" x14ac:dyDescent="0.25">
      <c r="A19" s="2" t="s">
        <v>99</v>
      </c>
      <c r="B19" s="2" t="s">
        <v>76</v>
      </c>
      <c r="C19" s="2">
        <v>542</v>
      </c>
      <c r="D19" s="14"/>
      <c r="J19" s="2" t="s">
        <v>103</v>
      </c>
      <c r="K19" s="8">
        <v>1071</v>
      </c>
    </row>
    <row r="20" spans="1:11" x14ac:dyDescent="0.25">
      <c r="A20" s="2" t="s">
        <v>43</v>
      </c>
      <c r="B20" s="2" t="s">
        <v>98</v>
      </c>
      <c r="C20" s="2">
        <v>722</v>
      </c>
      <c r="D20" s="14"/>
      <c r="J20" s="2" t="s">
        <v>105</v>
      </c>
      <c r="K20" s="8">
        <v>1082</v>
      </c>
    </row>
    <row r="21" spans="1:11" x14ac:dyDescent="0.25">
      <c r="A21" s="2" t="s">
        <v>105</v>
      </c>
      <c r="B21" s="2" t="s">
        <v>100</v>
      </c>
      <c r="C21" s="2">
        <v>529</v>
      </c>
      <c r="D21" s="14"/>
      <c r="I21" s="2" t="s">
        <v>109</v>
      </c>
      <c r="K21" s="8">
        <v>11666</v>
      </c>
    </row>
    <row r="22" spans="1:11" x14ac:dyDescent="0.25">
      <c r="A22" s="2" t="s">
        <v>101</v>
      </c>
      <c r="B22" s="2" t="s">
        <v>98</v>
      </c>
      <c r="C22" s="2">
        <v>693</v>
      </c>
      <c r="D22" s="14"/>
    </row>
    <row r="23" spans="1:11" x14ac:dyDescent="0.25">
      <c r="A23" s="2"/>
      <c r="B23" s="2"/>
      <c r="C23" s="2"/>
      <c r="D23" s="14"/>
    </row>
    <row r="24" spans="1:11" x14ac:dyDescent="0.25">
      <c r="A24" s="2"/>
      <c r="B24" s="2"/>
      <c r="C24" s="2"/>
      <c r="D24" s="14"/>
    </row>
    <row r="25" spans="1:11" x14ac:dyDescent="0.25">
      <c r="A25" s="2"/>
      <c r="B25" s="2"/>
      <c r="C25" s="2"/>
      <c r="D25" s="14"/>
    </row>
    <row r="26" spans="1:11" x14ac:dyDescent="0.25">
      <c r="A26" s="2"/>
      <c r="B26" s="2"/>
      <c r="C26" s="2"/>
      <c r="D26" s="14"/>
    </row>
  </sheetData>
  <pageMargins left="0.7" right="0.7" top="0.75" bottom="0.75" header="0.3" footer="0.3"/>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3:G9"/>
  <sheetViews>
    <sheetView zoomScale="115" zoomScaleNormal="115" workbookViewId="0">
      <selection activeCell="A4" sqref="A4"/>
    </sheetView>
  </sheetViews>
  <sheetFormatPr defaultRowHeight="15" x14ac:dyDescent="0.25"/>
  <cols>
    <col min="1" max="1" width="15.7109375" customWidth="1"/>
    <col min="2" max="2" width="7.28515625" bestFit="1" customWidth="1"/>
    <col min="3" max="6" width="13" bestFit="1" customWidth="1"/>
    <col min="7" max="7" width="12.28515625" bestFit="1" customWidth="1"/>
  </cols>
  <sheetData>
    <row r="3" spans="1:7" x14ac:dyDescent="0.25">
      <c r="A3" s="15" t="s">
        <v>134</v>
      </c>
      <c r="C3" s="15" t="s">
        <v>112</v>
      </c>
    </row>
    <row r="4" spans="1:7" x14ac:dyDescent="0.25">
      <c r="A4" s="15" t="s">
        <v>113</v>
      </c>
      <c r="B4" s="15" t="s">
        <v>136</v>
      </c>
      <c r="C4" s="2" t="s">
        <v>118</v>
      </c>
      <c r="D4" s="2" t="s">
        <v>129</v>
      </c>
      <c r="E4" s="2" t="s">
        <v>123</v>
      </c>
      <c r="F4" s="2" t="s">
        <v>121</v>
      </c>
      <c r="G4" s="2" t="s">
        <v>109</v>
      </c>
    </row>
    <row r="5" spans="1:7" x14ac:dyDescent="0.25">
      <c r="A5" s="2" t="s">
        <v>119</v>
      </c>
      <c r="C5" s="8">
        <v>165703.50999999998</v>
      </c>
      <c r="D5" s="8">
        <v>139421.06</v>
      </c>
      <c r="E5" s="8">
        <v>131696.25</v>
      </c>
      <c r="F5" s="8">
        <v>82357.900000000009</v>
      </c>
      <c r="G5" s="8">
        <v>519178.72</v>
      </c>
    </row>
    <row r="6" spans="1:7" x14ac:dyDescent="0.25">
      <c r="A6" s="2" t="s">
        <v>122</v>
      </c>
      <c r="C6" s="8">
        <v>269252.57</v>
      </c>
      <c r="D6" s="8">
        <v>216764.13999999998</v>
      </c>
      <c r="E6" s="8">
        <v>207479.18</v>
      </c>
      <c r="F6" s="8">
        <v>140334.66</v>
      </c>
      <c r="G6" s="8">
        <v>833830.54999999993</v>
      </c>
    </row>
    <row r="7" spans="1:7" x14ac:dyDescent="0.25">
      <c r="A7" s="2" t="s">
        <v>128</v>
      </c>
      <c r="C7" s="8">
        <v>124995.23999999999</v>
      </c>
      <c r="D7" s="8">
        <v>127129.07999999999</v>
      </c>
      <c r="E7" s="8">
        <v>140165.53</v>
      </c>
      <c r="F7" s="8">
        <v>160220.89000000001</v>
      </c>
      <c r="G7" s="8">
        <v>552510.74</v>
      </c>
    </row>
    <row r="8" spans="1:7" x14ac:dyDescent="0.25">
      <c r="A8" s="2" t="s">
        <v>125</v>
      </c>
      <c r="C8" s="8">
        <v>135638.87</v>
      </c>
      <c r="D8" s="8">
        <v>80565.209999999992</v>
      </c>
      <c r="E8" s="8">
        <v>147218.32999999999</v>
      </c>
      <c r="F8" s="8">
        <v>226618.3</v>
      </c>
      <c r="G8" s="8">
        <v>590040.71</v>
      </c>
    </row>
    <row r="9" spans="1:7" x14ac:dyDescent="0.25">
      <c r="A9" s="2" t="s">
        <v>109</v>
      </c>
      <c r="C9" s="8">
        <v>695590.19</v>
      </c>
      <c r="D9" s="8">
        <v>563879.48999999987</v>
      </c>
      <c r="E9" s="8">
        <v>626559.28999999992</v>
      </c>
      <c r="F9" s="8">
        <v>609531.75</v>
      </c>
      <c r="G9" s="8">
        <v>2495560.7199999997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A101"/>
  <sheetViews>
    <sheetView workbookViewId="0">
      <selection activeCell="B2" sqref="B2"/>
    </sheetView>
  </sheetViews>
  <sheetFormatPr defaultRowHeight="15" x14ac:dyDescent="0.25"/>
  <cols>
    <col min="3" max="3" width="12.85546875" customWidth="1"/>
    <col min="4" max="4" width="10" customWidth="1"/>
    <col min="5" max="5" width="11.42578125" customWidth="1"/>
    <col min="6" max="6" width="11" customWidth="1"/>
    <col min="7" max="7" width="11.42578125" customWidth="1"/>
  </cols>
  <sheetData>
    <row r="2" spans="1:1" x14ac:dyDescent="0.25">
      <c r="A2" s="11"/>
    </row>
    <row r="3" spans="1:1" x14ac:dyDescent="0.25">
      <c r="A3" s="11"/>
    </row>
    <row r="4" spans="1:1" x14ac:dyDescent="0.25">
      <c r="A4" s="11"/>
    </row>
    <row r="5" spans="1:1" x14ac:dyDescent="0.25">
      <c r="A5" s="11"/>
    </row>
    <row r="6" spans="1:1" x14ac:dyDescent="0.25">
      <c r="A6" s="11"/>
    </row>
    <row r="7" spans="1:1" x14ac:dyDescent="0.25">
      <c r="A7" s="11"/>
    </row>
    <row r="8" spans="1:1" x14ac:dyDescent="0.25">
      <c r="A8" s="11"/>
    </row>
    <row r="9" spans="1:1" x14ac:dyDescent="0.25">
      <c r="A9" s="11"/>
    </row>
    <row r="10" spans="1:1" x14ac:dyDescent="0.25">
      <c r="A10" s="11"/>
    </row>
    <row r="11" spans="1:1" x14ac:dyDescent="0.25">
      <c r="A11" s="11"/>
    </row>
    <row r="12" spans="1:1" x14ac:dyDescent="0.25">
      <c r="A12" s="11"/>
    </row>
    <row r="13" spans="1:1" x14ac:dyDescent="0.25">
      <c r="A13" s="11"/>
    </row>
    <row r="14" spans="1:1" x14ac:dyDescent="0.25">
      <c r="A14" s="11"/>
    </row>
    <row r="15" spans="1:1" x14ac:dyDescent="0.25">
      <c r="A15" s="11"/>
    </row>
    <row r="16" spans="1:1" x14ac:dyDescent="0.25">
      <c r="A16" s="11"/>
    </row>
    <row r="17" spans="1:1" x14ac:dyDescent="0.25">
      <c r="A17" s="11"/>
    </row>
    <row r="18" spans="1:1" x14ac:dyDescent="0.25">
      <c r="A18" s="11"/>
    </row>
    <row r="19" spans="1:1" x14ac:dyDescent="0.25">
      <c r="A19" s="11"/>
    </row>
    <row r="20" spans="1:1" x14ac:dyDescent="0.25">
      <c r="A20" s="11"/>
    </row>
    <row r="21" spans="1:1" x14ac:dyDescent="0.25">
      <c r="A21" s="11"/>
    </row>
    <row r="22" spans="1:1" x14ac:dyDescent="0.25">
      <c r="A22" s="11"/>
    </row>
    <row r="23" spans="1:1" x14ac:dyDescent="0.25">
      <c r="A23" s="11"/>
    </row>
    <row r="24" spans="1:1" x14ac:dyDescent="0.25">
      <c r="A24" s="11"/>
    </row>
    <row r="25" spans="1:1" x14ac:dyDescent="0.25">
      <c r="A25" s="11"/>
    </row>
    <row r="26" spans="1:1" x14ac:dyDescent="0.25">
      <c r="A26" s="11"/>
    </row>
    <row r="27" spans="1:1" x14ac:dyDescent="0.25">
      <c r="A27" s="11"/>
    </row>
    <row r="28" spans="1:1" x14ac:dyDescent="0.25">
      <c r="A28" s="11"/>
    </row>
    <row r="29" spans="1:1" x14ac:dyDescent="0.25">
      <c r="A29" s="11"/>
    </row>
    <row r="30" spans="1:1" x14ac:dyDescent="0.25">
      <c r="A30" s="11"/>
    </row>
    <row r="31" spans="1:1" x14ac:dyDescent="0.25">
      <c r="A31" s="11"/>
    </row>
    <row r="32" spans="1:1" x14ac:dyDescent="0.25">
      <c r="A32" s="11"/>
    </row>
    <row r="33" spans="1:1" x14ac:dyDescent="0.25">
      <c r="A33" s="11"/>
    </row>
    <row r="34" spans="1:1" x14ac:dyDescent="0.25">
      <c r="A34" s="11"/>
    </row>
    <row r="35" spans="1:1" x14ac:dyDescent="0.25">
      <c r="A35" s="11"/>
    </row>
    <row r="36" spans="1:1" x14ac:dyDescent="0.25">
      <c r="A36" s="11"/>
    </row>
    <row r="37" spans="1:1" x14ac:dyDescent="0.25">
      <c r="A37" s="11"/>
    </row>
    <row r="38" spans="1:1" x14ac:dyDescent="0.25">
      <c r="A38" s="11"/>
    </row>
    <row r="39" spans="1:1" x14ac:dyDescent="0.25">
      <c r="A39" s="11"/>
    </row>
    <row r="40" spans="1:1" x14ac:dyDescent="0.25">
      <c r="A40" s="11"/>
    </row>
    <row r="41" spans="1:1" x14ac:dyDescent="0.25">
      <c r="A41" s="11"/>
    </row>
    <row r="42" spans="1:1" x14ac:dyDescent="0.25">
      <c r="A42" s="11"/>
    </row>
    <row r="43" spans="1:1" x14ac:dyDescent="0.25">
      <c r="A43" s="11"/>
    </row>
    <row r="44" spans="1:1" x14ac:dyDescent="0.25">
      <c r="A44" s="11"/>
    </row>
    <row r="45" spans="1:1" x14ac:dyDescent="0.25">
      <c r="A45" s="11"/>
    </row>
    <row r="46" spans="1:1" x14ac:dyDescent="0.25">
      <c r="A46" s="11"/>
    </row>
    <row r="47" spans="1:1" x14ac:dyDescent="0.25">
      <c r="A47" s="11"/>
    </row>
    <row r="48" spans="1:1" x14ac:dyDescent="0.25">
      <c r="A48" s="11"/>
    </row>
    <row r="49" spans="1:1" x14ac:dyDescent="0.25">
      <c r="A49" s="11"/>
    </row>
    <row r="50" spans="1:1" x14ac:dyDescent="0.25">
      <c r="A50" s="11"/>
    </row>
    <row r="51" spans="1:1" x14ac:dyDescent="0.25">
      <c r="A51" s="11"/>
    </row>
    <row r="52" spans="1:1" x14ac:dyDescent="0.25">
      <c r="A52" s="11"/>
    </row>
    <row r="53" spans="1:1" x14ac:dyDescent="0.25">
      <c r="A53" s="11"/>
    </row>
    <row r="54" spans="1:1" x14ac:dyDescent="0.25">
      <c r="A54" s="11"/>
    </row>
    <row r="55" spans="1:1" x14ac:dyDescent="0.25">
      <c r="A55" s="11"/>
    </row>
    <row r="56" spans="1:1" x14ac:dyDescent="0.25">
      <c r="A56" s="11"/>
    </row>
    <row r="57" spans="1:1" x14ac:dyDescent="0.25">
      <c r="A57" s="11"/>
    </row>
    <row r="58" spans="1:1" x14ac:dyDescent="0.25">
      <c r="A58" s="11"/>
    </row>
    <row r="59" spans="1:1" x14ac:dyDescent="0.25">
      <c r="A59" s="11"/>
    </row>
    <row r="60" spans="1:1" x14ac:dyDescent="0.25">
      <c r="A60" s="11"/>
    </row>
    <row r="61" spans="1:1" x14ac:dyDescent="0.25">
      <c r="A61" s="11"/>
    </row>
    <row r="62" spans="1:1" x14ac:dyDescent="0.25">
      <c r="A62" s="11"/>
    </row>
    <row r="63" spans="1:1" x14ac:dyDescent="0.25">
      <c r="A63" s="11"/>
    </row>
    <row r="64" spans="1:1" x14ac:dyDescent="0.25">
      <c r="A64" s="11"/>
    </row>
    <row r="65" spans="1:1" x14ac:dyDescent="0.25">
      <c r="A65" s="11"/>
    </row>
    <row r="66" spans="1:1" x14ac:dyDescent="0.25">
      <c r="A66" s="11"/>
    </row>
    <row r="67" spans="1:1" x14ac:dyDescent="0.25">
      <c r="A67" s="11"/>
    </row>
    <row r="68" spans="1:1" x14ac:dyDescent="0.25">
      <c r="A68" s="11"/>
    </row>
    <row r="69" spans="1:1" x14ac:dyDescent="0.25">
      <c r="A69" s="11"/>
    </row>
    <row r="70" spans="1:1" x14ac:dyDescent="0.25">
      <c r="A70" s="11"/>
    </row>
    <row r="71" spans="1:1" x14ac:dyDescent="0.25">
      <c r="A71" s="11"/>
    </row>
    <row r="72" spans="1:1" x14ac:dyDescent="0.25">
      <c r="A72" s="11"/>
    </row>
    <row r="73" spans="1:1" x14ac:dyDescent="0.25">
      <c r="A73" s="11"/>
    </row>
    <row r="74" spans="1:1" x14ac:dyDescent="0.25">
      <c r="A74" s="11"/>
    </row>
    <row r="75" spans="1:1" x14ac:dyDescent="0.25">
      <c r="A75" s="11"/>
    </row>
    <row r="76" spans="1:1" x14ac:dyDescent="0.25">
      <c r="A76" s="11"/>
    </row>
    <row r="77" spans="1:1" x14ac:dyDescent="0.25">
      <c r="A77" s="11"/>
    </row>
    <row r="78" spans="1:1" x14ac:dyDescent="0.25">
      <c r="A78" s="11"/>
    </row>
    <row r="79" spans="1:1" x14ac:dyDescent="0.25">
      <c r="A79" s="11"/>
    </row>
    <row r="80" spans="1:1" x14ac:dyDescent="0.25">
      <c r="A80" s="11"/>
    </row>
    <row r="81" spans="1:1" x14ac:dyDescent="0.25">
      <c r="A81" s="11"/>
    </row>
    <row r="82" spans="1:1" x14ac:dyDescent="0.25">
      <c r="A82" s="11"/>
    </row>
    <row r="83" spans="1:1" x14ac:dyDescent="0.25">
      <c r="A83" s="11"/>
    </row>
    <row r="84" spans="1:1" x14ac:dyDescent="0.25">
      <c r="A84" s="11"/>
    </row>
    <row r="85" spans="1:1" x14ac:dyDescent="0.25">
      <c r="A85" s="11"/>
    </row>
    <row r="86" spans="1:1" x14ac:dyDescent="0.25">
      <c r="A86" s="11"/>
    </row>
    <row r="87" spans="1:1" x14ac:dyDescent="0.25">
      <c r="A87" s="11"/>
    </row>
    <row r="88" spans="1:1" x14ac:dyDescent="0.25">
      <c r="A88" s="11"/>
    </row>
    <row r="89" spans="1:1" x14ac:dyDescent="0.25">
      <c r="A89" s="11"/>
    </row>
    <row r="90" spans="1:1" x14ac:dyDescent="0.25">
      <c r="A90" s="11"/>
    </row>
    <row r="91" spans="1:1" x14ac:dyDescent="0.25">
      <c r="A91" s="11"/>
    </row>
    <row r="92" spans="1:1" x14ac:dyDescent="0.25">
      <c r="A92" s="11"/>
    </row>
    <row r="93" spans="1:1" x14ac:dyDescent="0.25">
      <c r="A93" s="11"/>
    </row>
    <row r="94" spans="1:1" x14ac:dyDescent="0.25">
      <c r="A94" s="11"/>
    </row>
    <row r="95" spans="1:1" x14ac:dyDescent="0.25">
      <c r="A95" s="11"/>
    </row>
    <row r="96" spans="1:1" x14ac:dyDescent="0.25">
      <c r="A96" s="11"/>
    </row>
    <row r="97" spans="1:1" x14ac:dyDescent="0.25">
      <c r="A97" s="11"/>
    </row>
    <row r="98" spans="1:1" x14ac:dyDescent="0.25">
      <c r="A98" s="11"/>
    </row>
    <row r="99" spans="1:1" x14ac:dyDescent="0.25">
      <c r="A99" s="11"/>
    </row>
    <row r="100" spans="1:1" x14ac:dyDescent="0.25">
      <c r="A100" s="11"/>
    </row>
    <row r="101" spans="1:1" x14ac:dyDescent="0.25">
      <c r="A101"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13"/>
  <sheetViews>
    <sheetView workbookViewId="0">
      <selection sqref="A1:G13"/>
    </sheetView>
  </sheetViews>
  <sheetFormatPr defaultRowHeight="15" x14ac:dyDescent="0.25"/>
  <cols>
    <col min="3" max="3" width="12.85546875" customWidth="1"/>
    <col min="4" max="4" width="10" customWidth="1"/>
    <col min="5" max="5" width="11.42578125" customWidth="1"/>
    <col min="6" max="6" width="11" customWidth="1"/>
    <col min="7" max="7" width="11.42578125" customWidth="1"/>
  </cols>
  <sheetData>
    <row r="1" spans="1:7" x14ac:dyDescent="0.25">
      <c r="A1" t="s">
        <v>67</v>
      </c>
      <c r="B1" t="s">
        <v>36</v>
      </c>
      <c r="C1" t="s">
        <v>112</v>
      </c>
      <c r="D1" t="s">
        <v>113</v>
      </c>
      <c r="E1" t="s">
        <v>114</v>
      </c>
      <c r="F1" t="s">
        <v>115</v>
      </c>
      <c r="G1" t="s">
        <v>116</v>
      </c>
    </row>
    <row r="2" spans="1:7" x14ac:dyDescent="0.25">
      <c r="A2" s="11">
        <v>45023</v>
      </c>
      <c r="B2" t="s">
        <v>127</v>
      </c>
      <c r="C2" t="s">
        <v>121</v>
      </c>
      <c r="D2" t="s">
        <v>122</v>
      </c>
      <c r="E2">
        <v>7</v>
      </c>
      <c r="F2">
        <v>49678.09</v>
      </c>
      <c r="G2">
        <v>49.67</v>
      </c>
    </row>
    <row r="3" spans="1:7" x14ac:dyDescent="0.25">
      <c r="A3" s="11">
        <v>45006</v>
      </c>
      <c r="B3" t="s">
        <v>127</v>
      </c>
      <c r="C3" t="s">
        <v>123</v>
      </c>
      <c r="D3" t="s">
        <v>122</v>
      </c>
      <c r="E3">
        <v>40</v>
      </c>
      <c r="F3">
        <v>15127.21</v>
      </c>
      <c r="G3">
        <v>33.880000000000003</v>
      </c>
    </row>
    <row r="4" spans="1:7" x14ac:dyDescent="0.25">
      <c r="A4" s="11">
        <v>45001</v>
      </c>
      <c r="B4" t="s">
        <v>127</v>
      </c>
      <c r="C4" t="s">
        <v>118</v>
      </c>
      <c r="D4" t="s">
        <v>122</v>
      </c>
      <c r="E4">
        <v>33</v>
      </c>
      <c r="F4">
        <v>45938.38</v>
      </c>
      <c r="G4">
        <v>24.53</v>
      </c>
    </row>
    <row r="5" spans="1:7" x14ac:dyDescent="0.25">
      <c r="A5" s="11">
        <v>44981</v>
      </c>
      <c r="B5" t="s">
        <v>127</v>
      </c>
      <c r="C5" t="s">
        <v>121</v>
      </c>
      <c r="D5" t="s">
        <v>125</v>
      </c>
      <c r="E5">
        <v>40</v>
      </c>
      <c r="F5">
        <v>39401.46</v>
      </c>
      <c r="G5">
        <v>6.61</v>
      </c>
    </row>
    <row r="6" spans="1:7" x14ac:dyDescent="0.25">
      <c r="A6" s="11">
        <v>44973</v>
      </c>
      <c r="B6" t="s">
        <v>127</v>
      </c>
      <c r="C6" t="s">
        <v>118</v>
      </c>
      <c r="D6" t="s">
        <v>122</v>
      </c>
      <c r="E6">
        <v>38</v>
      </c>
      <c r="F6">
        <v>32601.53</v>
      </c>
      <c r="G6">
        <v>30.42</v>
      </c>
    </row>
    <row r="7" spans="1:7" x14ac:dyDescent="0.25">
      <c r="A7" s="11">
        <v>44970</v>
      </c>
      <c r="B7" t="s">
        <v>127</v>
      </c>
      <c r="C7" t="s">
        <v>121</v>
      </c>
      <c r="D7" t="s">
        <v>122</v>
      </c>
      <c r="E7">
        <v>32</v>
      </c>
      <c r="F7">
        <v>43129.5</v>
      </c>
      <c r="G7">
        <v>26.22</v>
      </c>
    </row>
    <row r="8" spans="1:7" x14ac:dyDescent="0.25">
      <c r="A8" s="11">
        <v>44955</v>
      </c>
      <c r="B8" t="s">
        <v>127</v>
      </c>
      <c r="C8" t="s">
        <v>118</v>
      </c>
      <c r="D8" t="s">
        <v>125</v>
      </c>
      <c r="E8">
        <v>40</v>
      </c>
      <c r="F8">
        <v>26963.08</v>
      </c>
      <c r="G8">
        <v>36.520000000000003</v>
      </c>
    </row>
    <row r="9" spans="1:7" x14ac:dyDescent="0.25">
      <c r="A9" s="11">
        <v>44934</v>
      </c>
      <c r="B9" t="s">
        <v>127</v>
      </c>
      <c r="C9" t="s">
        <v>123</v>
      </c>
      <c r="D9" t="s">
        <v>125</v>
      </c>
      <c r="E9">
        <v>38</v>
      </c>
      <c r="F9">
        <v>27810.37</v>
      </c>
      <c r="G9">
        <v>28.66</v>
      </c>
    </row>
    <row r="10" spans="1:7" x14ac:dyDescent="0.25">
      <c r="A10" s="11">
        <v>44935</v>
      </c>
      <c r="B10" t="s">
        <v>127</v>
      </c>
      <c r="C10" t="s">
        <v>118</v>
      </c>
      <c r="D10" t="s">
        <v>125</v>
      </c>
      <c r="E10">
        <v>37</v>
      </c>
      <c r="F10">
        <v>11487.24</v>
      </c>
      <c r="G10">
        <v>46.12</v>
      </c>
    </row>
    <row r="11" spans="1:7" x14ac:dyDescent="0.25">
      <c r="A11" s="11">
        <v>44936</v>
      </c>
      <c r="B11" t="s">
        <v>127</v>
      </c>
      <c r="C11" t="s">
        <v>123</v>
      </c>
      <c r="D11" t="s">
        <v>128</v>
      </c>
      <c r="E11">
        <v>22</v>
      </c>
      <c r="F11">
        <v>18725.37</v>
      </c>
      <c r="G11">
        <v>21.37</v>
      </c>
    </row>
    <row r="12" spans="1:7" x14ac:dyDescent="0.25">
      <c r="A12" s="11">
        <v>44937</v>
      </c>
      <c r="B12" t="s">
        <v>127</v>
      </c>
      <c r="C12" t="s">
        <v>129</v>
      </c>
      <c r="D12" t="s">
        <v>122</v>
      </c>
      <c r="E12">
        <v>2</v>
      </c>
      <c r="F12">
        <v>48493.86</v>
      </c>
      <c r="G12">
        <v>49.78</v>
      </c>
    </row>
    <row r="13" spans="1:7" x14ac:dyDescent="0.25">
      <c r="A13" s="11">
        <v>44938</v>
      </c>
      <c r="B13" t="s">
        <v>127</v>
      </c>
      <c r="C13" t="s">
        <v>121</v>
      </c>
      <c r="D13" t="s">
        <v>128</v>
      </c>
      <c r="E13">
        <v>10</v>
      </c>
      <c r="F13">
        <v>46466.03</v>
      </c>
      <c r="G13">
        <v>43.3</v>
      </c>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114"/>
  <sheetViews>
    <sheetView zoomScale="115" zoomScaleNormal="115" workbookViewId="0">
      <selection activeCell="F39" sqref="F39"/>
    </sheetView>
  </sheetViews>
  <sheetFormatPr defaultRowHeight="15" x14ac:dyDescent="0.25"/>
  <cols>
    <col min="1" max="1" width="11.28515625" customWidth="1"/>
    <col min="2" max="2" width="9.42578125" customWidth="1"/>
    <col min="3" max="3" width="16.140625" customWidth="1"/>
    <col min="4" max="4" width="11.28515625" customWidth="1"/>
    <col min="5" max="5" width="15.7109375" customWidth="1"/>
    <col min="6" max="6" width="12.28515625" customWidth="1"/>
  </cols>
  <sheetData>
    <row r="1" spans="1:6" x14ac:dyDescent="0.25">
      <c r="A1" s="5" t="s">
        <v>141</v>
      </c>
    </row>
    <row r="3" spans="1:6" x14ac:dyDescent="0.25">
      <c r="A3" s="15" t="s">
        <v>135</v>
      </c>
      <c r="B3" s="15" t="s">
        <v>113</v>
      </c>
    </row>
    <row r="4" spans="1:6" x14ac:dyDescent="0.25">
      <c r="A4" s="15" t="s">
        <v>112</v>
      </c>
      <c r="B4" s="2" t="s">
        <v>119</v>
      </c>
      <c r="C4" s="2" t="s">
        <v>122</v>
      </c>
      <c r="D4" s="2" t="s">
        <v>128</v>
      </c>
      <c r="E4" s="2" t="s">
        <v>125</v>
      </c>
      <c r="F4" s="2" t="s">
        <v>109</v>
      </c>
    </row>
    <row r="5" spans="1:6" x14ac:dyDescent="0.25">
      <c r="A5" s="2" t="s">
        <v>118</v>
      </c>
      <c r="B5" s="8">
        <v>17.176666666666666</v>
      </c>
      <c r="C5" s="8">
        <v>26.565714285714286</v>
      </c>
      <c r="D5" s="8">
        <v>18.802499999999998</v>
      </c>
      <c r="E5" s="8">
        <v>25.77333333333333</v>
      </c>
      <c r="F5" s="8">
        <v>21.938461538461532</v>
      </c>
    </row>
    <row r="6" spans="1:6" x14ac:dyDescent="0.25">
      <c r="A6" s="2" t="s">
        <v>129</v>
      </c>
      <c r="B6" s="8">
        <v>33.724999999999994</v>
      </c>
      <c r="C6" s="8">
        <v>36.14</v>
      </c>
      <c r="D6" s="8">
        <v>33.661999999999999</v>
      </c>
      <c r="E6" s="8">
        <v>27.82</v>
      </c>
      <c r="F6" s="8">
        <v>33.50615384615385</v>
      </c>
    </row>
    <row r="7" spans="1:6" x14ac:dyDescent="0.25">
      <c r="A7" s="2" t="s">
        <v>123</v>
      </c>
      <c r="B7" s="8">
        <v>31.805000000000003</v>
      </c>
      <c r="C7" s="8">
        <v>26.302500000000002</v>
      </c>
      <c r="D7" s="8">
        <v>18.239999999999998</v>
      </c>
      <c r="E7" s="8">
        <v>31.49</v>
      </c>
      <c r="F7" s="8">
        <v>27.258571428571425</v>
      </c>
    </row>
    <row r="8" spans="1:6" x14ac:dyDescent="0.25">
      <c r="A8" s="2" t="s">
        <v>121</v>
      </c>
      <c r="B8" s="8">
        <v>37.569999999999993</v>
      </c>
      <c r="C8" s="8">
        <v>35.495000000000005</v>
      </c>
      <c r="D8" s="8">
        <v>31.067999999999994</v>
      </c>
      <c r="E8" s="8">
        <v>18.837142857142858</v>
      </c>
      <c r="F8" s="8">
        <v>28.973000000000003</v>
      </c>
    </row>
    <row r="9" spans="1:6" x14ac:dyDescent="0.25">
      <c r="A9" s="2" t="s">
        <v>109</v>
      </c>
      <c r="B9" s="8">
        <v>28.209629629629632</v>
      </c>
      <c r="C9" s="8">
        <v>31.026206896551727</v>
      </c>
      <c r="D9" s="8">
        <v>25.414999999999999</v>
      </c>
      <c r="E9" s="8">
        <v>25.605833333333337</v>
      </c>
      <c r="F9" s="8">
        <v>27.842599999999997</v>
      </c>
    </row>
    <row r="16" spans="1:6" x14ac:dyDescent="0.25">
      <c r="A16" s="5" t="s">
        <v>140</v>
      </c>
    </row>
    <row r="18" spans="1:6" x14ac:dyDescent="0.25">
      <c r="A18" s="15" t="s">
        <v>137</v>
      </c>
      <c r="B18" s="15" t="s">
        <v>113</v>
      </c>
    </row>
    <row r="19" spans="1:6" x14ac:dyDescent="0.25">
      <c r="A19" s="15" t="s">
        <v>36</v>
      </c>
      <c r="B19" s="2" t="s">
        <v>119</v>
      </c>
      <c r="C19" s="2" t="s">
        <v>122</v>
      </c>
      <c r="D19" s="2" t="s">
        <v>128</v>
      </c>
      <c r="E19" s="2" t="s">
        <v>125</v>
      </c>
      <c r="F19" s="2" t="s">
        <v>109</v>
      </c>
    </row>
    <row r="20" spans="1:6" x14ac:dyDescent="0.25">
      <c r="A20" s="2" t="s">
        <v>124</v>
      </c>
      <c r="B20" s="8">
        <v>47</v>
      </c>
      <c r="C20" s="8">
        <v>15</v>
      </c>
      <c r="D20" s="8">
        <v>87</v>
      </c>
      <c r="E20" s="8">
        <v>25</v>
      </c>
      <c r="F20" s="8">
        <v>174</v>
      </c>
    </row>
    <row r="21" spans="1:6" x14ac:dyDescent="0.25">
      <c r="A21" s="2" t="s">
        <v>43</v>
      </c>
      <c r="B21" s="8">
        <v>138</v>
      </c>
      <c r="C21" s="8">
        <v>54</v>
      </c>
      <c r="D21" s="8">
        <v>85</v>
      </c>
      <c r="E21" s="8">
        <v>83</v>
      </c>
      <c r="F21" s="8">
        <v>360</v>
      </c>
    </row>
    <row r="22" spans="1:6" x14ac:dyDescent="0.25">
      <c r="A22" s="2" t="s">
        <v>117</v>
      </c>
      <c r="B22" s="8">
        <v>13</v>
      </c>
      <c r="C22" s="8">
        <v>104</v>
      </c>
      <c r="D22" s="8">
        <v>45</v>
      </c>
      <c r="E22" s="8"/>
      <c r="F22" s="8">
        <v>162</v>
      </c>
    </row>
    <row r="23" spans="1:6" x14ac:dyDescent="0.25">
      <c r="A23" s="2" t="s">
        <v>131</v>
      </c>
      <c r="B23" s="8">
        <v>155</v>
      </c>
      <c r="C23" s="8">
        <v>74</v>
      </c>
      <c r="D23" s="8">
        <v>42</v>
      </c>
      <c r="E23" s="8">
        <v>55</v>
      </c>
      <c r="F23" s="8">
        <v>326</v>
      </c>
    </row>
    <row r="24" spans="1:6" x14ac:dyDescent="0.25">
      <c r="A24" s="2" t="s">
        <v>120</v>
      </c>
      <c r="B24" s="8">
        <v>34</v>
      </c>
      <c r="C24" s="8">
        <v>86</v>
      </c>
      <c r="D24" s="8">
        <v>1</v>
      </c>
      <c r="E24" s="8">
        <v>118</v>
      </c>
      <c r="F24" s="8">
        <v>239</v>
      </c>
    </row>
    <row r="25" spans="1:6" x14ac:dyDescent="0.25">
      <c r="A25" s="2" t="s">
        <v>133</v>
      </c>
      <c r="B25" s="8"/>
      <c r="C25" s="8">
        <v>110</v>
      </c>
      <c r="D25" s="8">
        <v>38</v>
      </c>
      <c r="E25" s="8">
        <v>36</v>
      </c>
      <c r="F25" s="8">
        <v>184</v>
      </c>
    </row>
    <row r="26" spans="1:6" x14ac:dyDescent="0.25">
      <c r="A26" s="2" t="s">
        <v>130</v>
      </c>
      <c r="B26" s="8">
        <v>21</v>
      </c>
      <c r="C26" s="8">
        <v>11</v>
      </c>
      <c r="D26" s="8">
        <v>117</v>
      </c>
      <c r="E26" s="8">
        <v>57</v>
      </c>
      <c r="F26" s="8">
        <v>206</v>
      </c>
    </row>
    <row r="27" spans="1:6" x14ac:dyDescent="0.25">
      <c r="A27" s="2" t="s">
        <v>126</v>
      </c>
      <c r="B27" s="8">
        <v>86</v>
      </c>
      <c r="C27" s="8">
        <v>47</v>
      </c>
      <c r="D27" s="8">
        <v>20</v>
      </c>
      <c r="E27" s="8">
        <v>131</v>
      </c>
      <c r="F27" s="8">
        <v>284</v>
      </c>
    </row>
    <row r="28" spans="1:6" x14ac:dyDescent="0.25">
      <c r="A28" s="2" t="s">
        <v>127</v>
      </c>
      <c r="B28" s="8"/>
      <c r="C28" s="8">
        <v>152</v>
      </c>
      <c r="D28" s="8">
        <v>32</v>
      </c>
      <c r="E28" s="8">
        <v>155</v>
      </c>
      <c r="F28" s="8">
        <v>339</v>
      </c>
    </row>
    <row r="29" spans="1:6" x14ac:dyDescent="0.25">
      <c r="A29" s="2" t="s">
        <v>132</v>
      </c>
      <c r="B29" s="8">
        <v>158</v>
      </c>
      <c r="C29" s="8">
        <v>97</v>
      </c>
      <c r="D29" s="8">
        <v>15</v>
      </c>
      <c r="E29" s="8">
        <v>19</v>
      </c>
      <c r="F29" s="8">
        <v>289</v>
      </c>
    </row>
    <row r="30" spans="1:6" x14ac:dyDescent="0.25">
      <c r="A30" s="2" t="s">
        <v>109</v>
      </c>
      <c r="B30" s="8">
        <v>652</v>
      </c>
      <c r="C30" s="8">
        <v>750</v>
      </c>
      <c r="D30" s="8">
        <v>482</v>
      </c>
      <c r="E30" s="8">
        <v>679</v>
      </c>
      <c r="F30" s="8">
        <v>2563</v>
      </c>
    </row>
    <row r="33" spans="1:6" x14ac:dyDescent="0.25">
      <c r="A33" s="17" t="s">
        <v>139</v>
      </c>
      <c r="B33" s="5"/>
      <c r="C33" s="5"/>
      <c r="D33" s="5"/>
      <c r="E33" s="5"/>
    </row>
    <row r="36" spans="1:6" x14ac:dyDescent="0.25">
      <c r="A36" s="15" t="s">
        <v>134</v>
      </c>
      <c r="B36" s="15" t="s">
        <v>112</v>
      </c>
    </row>
    <row r="37" spans="1:6" x14ac:dyDescent="0.25">
      <c r="A37" s="15" t="s">
        <v>113</v>
      </c>
      <c r="B37" s="2" t="s">
        <v>118</v>
      </c>
      <c r="C37" s="2" t="s">
        <v>129</v>
      </c>
      <c r="D37" s="2" t="s">
        <v>123</v>
      </c>
      <c r="E37" s="2" t="s">
        <v>121</v>
      </c>
      <c r="F37" s="2" t="s">
        <v>109</v>
      </c>
    </row>
    <row r="38" spans="1:6" x14ac:dyDescent="0.25">
      <c r="A38" s="2" t="s">
        <v>119</v>
      </c>
      <c r="B38" s="8">
        <v>165703.50999999998</v>
      </c>
      <c r="C38" s="8">
        <v>139421.06</v>
      </c>
      <c r="D38" s="8">
        <v>131696.25</v>
      </c>
      <c r="E38" s="8">
        <v>82357.900000000009</v>
      </c>
      <c r="F38" s="8">
        <v>519178.72</v>
      </c>
    </row>
    <row r="39" spans="1:6" x14ac:dyDescent="0.25">
      <c r="A39" s="2" t="s">
        <v>122</v>
      </c>
      <c r="B39" s="8">
        <v>269252.57</v>
      </c>
      <c r="C39" s="8">
        <v>216764.13999999998</v>
      </c>
      <c r="D39" s="8">
        <v>207479.18</v>
      </c>
      <c r="E39" s="8">
        <v>140334.66</v>
      </c>
      <c r="F39" s="8">
        <v>833830.54999999993</v>
      </c>
    </row>
    <row r="40" spans="1:6" x14ac:dyDescent="0.25">
      <c r="A40" s="2" t="s">
        <v>128</v>
      </c>
      <c r="B40" s="8">
        <v>124995.23999999999</v>
      </c>
      <c r="C40" s="8">
        <v>127129.07999999999</v>
      </c>
      <c r="D40" s="8">
        <v>140165.53</v>
      </c>
      <c r="E40" s="8">
        <v>160220.89000000001</v>
      </c>
      <c r="F40" s="8">
        <v>552510.74</v>
      </c>
    </row>
    <row r="41" spans="1:6" x14ac:dyDescent="0.25">
      <c r="A41" s="2" t="s">
        <v>125</v>
      </c>
      <c r="B41" s="8">
        <v>135638.87</v>
      </c>
      <c r="C41" s="8">
        <v>80565.209999999992</v>
      </c>
      <c r="D41" s="8">
        <v>147218.32999999999</v>
      </c>
      <c r="E41" s="8">
        <v>226618.3</v>
      </c>
      <c r="F41" s="8">
        <v>590040.71</v>
      </c>
    </row>
    <row r="42" spans="1:6" x14ac:dyDescent="0.25">
      <c r="A42" s="2" t="s">
        <v>109</v>
      </c>
      <c r="B42" s="8">
        <v>695590.19</v>
      </c>
      <c r="C42" s="8">
        <v>563879.48999999987</v>
      </c>
      <c r="D42" s="8">
        <v>626559.28999999992</v>
      </c>
      <c r="E42" s="8">
        <v>609531.75</v>
      </c>
      <c r="F42" s="8">
        <v>2495560.7199999997</v>
      </c>
    </row>
    <row r="45" spans="1:6" x14ac:dyDescent="0.25">
      <c r="A45" s="5" t="s">
        <v>138</v>
      </c>
    </row>
    <row r="47" spans="1:6" x14ac:dyDescent="0.25">
      <c r="A47" s="15" t="s">
        <v>113</v>
      </c>
      <c r="B47" t="s">
        <v>135</v>
      </c>
    </row>
    <row r="48" spans="1:6" x14ac:dyDescent="0.25">
      <c r="A48" s="2" t="s">
        <v>122</v>
      </c>
      <c r="B48" s="23">
        <v>31.026206896551717</v>
      </c>
    </row>
    <row r="49" spans="1:3" x14ac:dyDescent="0.25">
      <c r="A49" s="2" t="s">
        <v>119</v>
      </c>
      <c r="B49" s="18">
        <v>28.209629629629632</v>
      </c>
    </row>
    <row r="50" spans="1:3" x14ac:dyDescent="0.25">
      <c r="A50" s="2" t="s">
        <v>125</v>
      </c>
      <c r="B50" s="18">
        <v>25.605833333333326</v>
      </c>
    </row>
    <row r="51" spans="1:3" x14ac:dyDescent="0.25">
      <c r="A51" s="2" t="s">
        <v>128</v>
      </c>
      <c r="B51" s="18">
        <v>25.414999999999999</v>
      </c>
    </row>
    <row r="52" spans="1:3" x14ac:dyDescent="0.25">
      <c r="A52" s="2" t="s">
        <v>109</v>
      </c>
      <c r="B52" s="18">
        <v>27.842599999999997</v>
      </c>
    </row>
    <row r="55" spans="1:3" x14ac:dyDescent="0.25">
      <c r="A55" s="5" t="s">
        <v>142</v>
      </c>
    </row>
    <row r="57" spans="1:3" x14ac:dyDescent="0.25">
      <c r="A57" s="15" t="s">
        <v>112</v>
      </c>
      <c r="B57" s="2" t="s">
        <v>134</v>
      </c>
      <c r="C57" s="2" t="s">
        <v>143</v>
      </c>
    </row>
    <row r="58" spans="1:3" x14ac:dyDescent="0.25">
      <c r="A58" s="2" t="s">
        <v>118</v>
      </c>
      <c r="B58" s="8">
        <v>695590.19</v>
      </c>
      <c r="C58" s="8">
        <v>26</v>
      </c>
    </row>
    <row r="59" spans="1:3" x14ac:dyDescent="0.25">
      <c r="A59" s="2" t="s">
        <v>129</v>
      </c>
      <c r="B59" s="8">
        <v>563879.48999999987</v>
      </c>
      <c r="C59" s="8">
        <v>26</v>
      </c>
    </row>
    <row r="60" spans="1:3" x14ac:dyDescent="0.25">
      <c r="A60" s="2" t="s">
        <v>123</v>
      </c>
      <c r="B60" s="8">
        <v>626559.29</v>
      </c>
      <c r="C60" s="8">
        <v>28</v>
      </c>
    </row>
    <row r="61" spans="1:3" x14ac:dyDescent="0.25">
      <c r="A61" s="2" t="s">
        <v>121</v>
      </c>
      <c r="B61" s="8">
        <v>609531.74999999988</v>
      </c>
      <c r="C61" s="8">
        <v>20</v>
      </c>
    </row>
    <row r="62" spans="1:3" x14ac:dyDescent="0.25">
      <c r="A62" s="2" t="s">
        <v>109</v>
      </c>
      <c r="B62" s="8">
        <v>2495560.7199999997</v>
      </c>
      <c r="C62" s="8">
        <v>100</v>
      </c>
    </row>
    <row r="65" spans="1:5" x14ac:dyDescent="0.25">
      <c r="A65" s="5" t="s">
        <v>144</v>
      </c>
    </row>
    <row r="67" spans="1:5" x14ac:dyDescent="0.25">
      <c r="A67" s="15" t="s">
        <v>36</v>
      </c>
      <c r="B67" t="s">
        <v>134</v>
      </c>
      <c r="D67" s="15" t="s">
        <v>36</v>
      </c>
      <c r="E67" t="s">
        <v>134</v>
      </c>
    </row>
    <row r="68" spans="1:5" x14ac:dyDescent="0.25">
      <c r="A68" s="2" t="s">
        <v>127</v>
      </c>
      <c r="B68" s="8">
        <v>405822.12</v>
      </c>
      <c r="D68" s="2" t="s">
        <v>124</v>
      </c>
      <c r="E68" s="8">
        <v>9</v>
      </c>
    </row>
    <row r="69" spans="1:5" x14ac:dyDescent="0.25">
      <c r="A69" s="2" t="s">
        <v>43</v>
      </c>
      <c r="B69" s="8">
        <v>333649.28999999998</v>
      </c>
      <c r="D69" s="2" t="s">
        <v>43</v>
      </c>
      <c r="E69" s="8">
        <v>2</v>
      </c>
    </row>
    <row r="70" spans="1:5" x14ac:dyDescent="0.25">
      <c r="A70" s="2" t="s">
        <v>130</v>
      </c>
      <c r="B70" s="8">
        <v>298796.25</v>
      </c>
      <c r="D70" s="2" t="s">
        <v>117</v>
      </c>
      <c r="E70" s="8">
        <v>10</v>
      </c>
    </row>
    <row r="71" spans="1:5" x14ac:dyDescent="0.25">
      <c r="A71" s="2" t="s">
        <v>109</v>
      </c>
      <c r="B71" s="8">
        <v>1038267.66</v>
      </c>
      <c r="D71" s="2" t="s">
        <v>131</v>
      </c>
      <c r="E71" s="8">
        <v>4</v>
      </c>
    </row>
    <row r="72" spans="1:5" x14ac:dyDescent="0.25">
      <c r="D72" s="2" t="s">
        <v>120</v>
      </c>
      <c r="E72" s="8">
        <v>6</v>
      </c>
    </row>
    <row r="73" spans="1:5" x14ac:dyDescent="0.25">
      <c r="D73" s="2" t="s">
        <v>133</v>
      </c>
      <c r="E73" s="8">
        <v>7</v>
      </c>
    </row>
    <row r="74" spans="1:5" x14ac:dyDescent="0.25">
      <c r="D74" s="2" t="s">
        <v>130</v>
      </c>
      <c r="E74" s="8">
        <v>3</v>
      </c>
    </row>
    <row r="75" spans="1:5" x14ac:dyDescent="0.25">
      <c r="D75" s="2" t="s">
        <v>126</v>
      </c>
      <c r="E75" s="8">
        <v>8</v>
      </c>
    </row>
    <row r="76" spans="1:5" x14ac:dyDescent="0.25">
      <c r="D76" s="2" t="s">
        <v>127</v>
      </c>
      <c r="E76" s="8">
        <v>1</v>
      </c>
    </row>
    <row r="77" spans="1:5" x14ac:dyDescent="0.25">
      <c r="D77" s="2" t="s">
        <v>132</v>
      </c>
      <c r="E77" s="8">
        <v>5</v>
      </c>
    </row>
    <row r="78" spans="1:5" x14ac:dyDescent="0.25">
      <c r="D78" s="2" t="s">
        <v>109</v>
      </c>
      <c r="E78" s="8"/>
    </row>
    <row r="81" spans="1:3" x14ac:dyDescent="0.25">
      <c r="A81" s="5" t="s">
        <v>145</v>
      </c>
    </row>
    <row r="83" spans="1:3" x14ac:dyDescent="0.25">
      <c r="A83" s="15" t="s">
        <v>113</v>
      </c>
      <c r="B83" s="2" t="s">
        <v>146</v>
      </c>
      <c r="C83" s="2" t="s">
        <v>143</v>
      </c>
    </row>
    <row r="84" spans="1:3" x14ac:dyDescent="0.25">
      <c r="A84" s="2" t="s">
        <v>119</v>
      </c>
      <c r="B84" s="19">
        <v>19228.841481481479</v>
      </c>
      <c r="C84" s="8">
        <v>27</v>
      </c>
    </row>
    <row r="85" spans="1:3" x14ac:dyDescent="0.25">
      <c r="A85" s="2" t="s">
        <v>122</v>
      </c>
      <c r="B85" s="19">
        <v>28752.777586206903</v>
      </c>
      <c r="C85" s="8">
        <v>29</v>
      </c>
    </row>
    <row r="86" spans="1:3" x14ac:dyDescent="0.25">
      <c r="A86" s="2" t="s">
        <v>128</v>
      </c>
      <c r="B86" s="19">
        <v>27625.537</v>
      </c>
      <c r="C86" s="8">
        <v>20</v>
      </c>
    </row>
    <row r="87" spans="1:3" x14ac:dyDescent="0.25">
      <c r="A87" s="2" t="s">
        <v>125</v>
      </c>
      <c r="B87" s="19">
        <v>24585.029583333333</v>
      </c>
      <c r="C87" s="8">
        <v>24</v>
      </c>
    </row>
    <row r="88" spans="1:3" x14ac:dyDescent="0.25">
      <c r="A88" s="2" t="s">
        <v>109</v>
      </c>
      <c r="B88" s="19">
        <v>24955.607199999991</v>
      </c>
      <c r="C88" s="8">
        <v>100</v>
      </c>
    </row>
    <row r="91" spans="1:3" x14ac:dyDescent="0.25">
      <c r="A91" s="5" t="s">
        <v>147</v>
      </c>
    </row>
    <row r="93" spans="1:3" x14ac:dyDescent="0.25">
      <c r="A93" s="15" t="s">
        <v>36</v>
      </c>
      <c r="B93" s="15" t="s">
        <v>96</v>
      </c>
      <c r="C93" t="s">
        <v>137</v>
      </c>
    </row>
    <row r="94" spans="1:3" x14ac:dyDescent="0.25">
      <c r="A94" s="2" t="s">
        <v>124</v>
      </c>
      <c r="C94" s="8">
        <v>174</v>
      </c>
    </row>
    <row r="95" spans="1:3" x14ac:dyDescent="0.25">
      <c r="A95" s="2" t="s">
        <v>43</v>
      </c>
      <c r="C95" s="8">
        <v>360</v>
      </c>
    </row>
    <row r="96" spans="1:3" x14ac:dyDescent="0.25">
      <c r="A96" s="2" t="s">
        <v>117</v>
      </c>
      <c r="C96" s="8">
        <v>162</v>
      </c>
    </row>
    <row r="97" spans="1:3" x14ac:dyDescent="0.25">
      <c r="A97" s="2" t="s">
        <v>131</v>
      </c>
      <c r="C97" s="8">
        <v>326</v>
      </c>
    </row>
    <row r="98" spans="1:3" x14ac:dyDescent="0.25">
      <c r="A98" s="2" t="s">
        <v>120</v>
      </c>
      <c r="C98" s="8">
        <v>239</v>
      </c>
    </row>
    <row r="99" spans="1:3" x14ac:dyDescent="0.25">
      <c r="A99" s="2" t="s">
        <v>133</v>
      </c>
      <c r="C99" s="8">
        <v>184</v>
      </c>
    </row>
    <row r="100" spans="1:3" x14ac:dyDescent="0.25">
      <c r="A100" s="2" t="s">
        <v>130</v>
      </c>
      <c r="C100" s="8">
        <v>206</v>
      </c>
    </row>
    <row r="101" spans="1:3" x14ac:dyDescent="0.25">
      <c r="A101" s="2" t="s">
        <v>126</v>
      </c>
      <c r="C101" s="8">
        <v>284</v>
      </c>
    </row>
    <row r="102" spans="1:3" x14ac:dyDescent="0.25">
      <c r="B102" s="2" t="s">
        <v>129</v>
      </c>
      <c r="C102" s="8">
        <v>97</v>
      </c>
    </row>
    <row r="103" spans="1:3" x14ac:dyDescent="0.25">
      <c r="B103" s="2" t="s">
        <v>123</v>
      </c>
      <c r="C103" s="8">
        <v>127</v>
      </c>
    </row>
    <row r="104" spans="1:3" x14ac:dyDescent="0.25">
      <c r="B104" s="2" t="s">
        <v>121</v>
      </c>
      <c r="C104" s="8">
        <v>60</v>
      </c>
    </row>
    <row r="105" spans="1:3" x14ac:dyDescent="0.25">
      <c r="A105" s="2" t="s">
        <v>127</v>
      </c>
      <c r="C105" s="8">
        <v>339</v>
      </c>
    </row>
    <row r="106" spans="1:3" x14ac:dyDescent="0.25">
      <c r="B106" s="2" t="s">
        <v>118</v>
      </c>
      <c r="C106" s="8">
        <v>148</v>
      </c>
    </row>
    <row r="107" spans="1:3" x14ac:dyDescent="0.25">
      <c r="B107" s="2" t="s">
        <v>129</v>
      </c>
      <c r="C107" s="8">
        <v>2</v>
      </c>
    </row>
    <row r="108" spans="1:3" x14ac:dyDescent="0.25">
      <c r="B108" s="2" t="s">
        <v>123</v>
      </c>
      <c r="C108" s="8">
        <v>100</v>
      </c>
    </row>
    <row r="109" spans="1:3" x14ac:dyDescent="0.25">
      <c r="B109" s="2" t="s">
        <v>121</v>
      </c>
      <c r="C109" s="8">
        <v>89</v>
      </c>
    </row>
    <row r="110" spans="1:3" x14ac:dyDescent="0.25">
      <c r="A110" s="2" t="s">
        <v>132</v>
      </c>
      <c r="C110" s="8">
        <v>289</v>
      </c>
    </row>
    <row r="111" spans="1:3" x14ac:dyDescent="0.25">
      <c r="B111" s="2" t="s">
        <v>118</v>
      </c>
      <c r="C111" s="8">
        <v>84</v>
      </c>
    </row>
    <row r="112" spans="1:3" x14ac:dyDescent="0.25">
      <c r="B112" s="2" t="s">
        <v>129</v>
      </c>
      <c r="C112" s="8">
        <v>50</v>
      </c>
    </row>
    <row r="113" spans="1:3" x14ac:dyDescent="0.25">
      <c r="B113" s="2" t="s">
        <v>123</v>
      </c>
      <c r="C113" s="8">
        <v>155</v>
      </c>
    </row>
    <row r="114" spans="1:3" x14ac:dyDescent="0.25">
      <c r="A114" s="2" t="s">
        <v>109</v>
      </c>
      <c r="C114" s="8">
        <v>2563</v>
      </c>
    </row>
  </sheetData>
  <pageMargins left="0.7" right="0.7" top="0.75" bottom="0.75" header="0.3" footer="0.3"/>
  <pageSetup orientation="portrait" r:id="rId10"/>
  <drawing r:id="rId1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workbookViewId="0">
      <selection activeCell="C13" sqref="C13"/>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I101"/>
  <sheetViews>
    <sheetView workbookViewId="0">
      <selection activeCell="C2" sqref="C2:E15"/>
    </sheetView>
  </sheetViews>
  <sheetFormatPr defaultRowHeight="15" x14ac:dyDescent="0.25"/>
  <cols>
    <col min="1" max="1" width="23" bestFit="1" customWidth="1"/>
  </cols>
  <sheetData>
    <row r="1" spans="1:9" x14ac:dyDescent="0.25">
      <c r="A1" s="2" t="s">
        <v>67</v>
      </c>
      <c r="B1" s="2" t="s">
        <v>36</v>
      </c>
      <c r="C1" s="2" t="s">
        <v>112</v>
      </c>
      <c r="D1" s="2" t="s">
        <v>113</v>
      </c>
      <c r="E1" s="2" t="s">
        <v>114</v>
      </c>
      <c r="F1" s="2" t="s">
        <v>115</v>
      </c>
      <c r="G1" s="2" t="s">
        <v>116</v>
      </c>
    </row>
    <row r="2" spans="1:9" x14ac:dyDescent="0.25">
      <c r="A2" s="14">
        <v>44927</v>
      </c>
      <c r="B2" s="2" t="s">
        <v>117</v>
      </c>
      <c r="C2" s="2" t="s">
        <v>118</v>
      </c>
      <c r="D2" s="2" t="s">
        <v>119</v>
      </c>
      <c r="E2" s="2">
        <v>13</v>
      </c>
      <c r="F2" s="2">
        <v>10440.15</v>
      </c>
      <c r="G2" s="2">
        <v>13.19</v>
      </c>
      <c r="I2">
        <f>SUM(F2:F101)</f>
        <v>2495560.7199999993</v>
      </c>
    </row>
    <row r="3" spans="1:9" x14ac:dyDescent="0.25">
      <c r="A3" s="14">
        <v>44928</v>
      </c>
      <c r="B3" s="2" t="s">
        <v>120</v>
      </c>
      <c r="C3" s="2" t="s">
        <v>121</v>
      </c>
      <c r="D3" s="2" t="s">
        <v>122</v>
      </c>
      <c r="E3" s="2">
        <v>31</v>
      </c>
      <c r="F3" s="2">
        <v>11466.84</v>
      </c>
      <c r="G3" s="2">
        <v>30.53</v>
      </c>
    </row>
    <row r="4" spans="1:9" x14ac:dyDescent="0.25">
      <c r="A4" s="14">
        <v>44929</v>
      </c>
      <c r="B4" s="2" t="s">
        <v>43</v>
      </c>
      <c r="C4" s="2" t="s">
        <v>123</v>
      </c>
      <c r="D4" s="2" t="s">
        <v>119</v>
      </c>
      <c r="E4" s="2">
        <v>13</v>
      </c>
      <c r="F4" s="2">
        <v>21517.63</v>
      </c>
      <c r="G4" s="2">
        <v>46.47</v>
      </c>
    </row>
    <row r="5" spans="1:9" x14ac:dyDescent="0.25">
      <c r="A5" s="14">
        <v>44930</v>
      </c>
      <c r="B5" s="2" t="s">
        <v>120</v>
      </c>
      <c r="C5" s="2" t="s">
        <v>123</v>
      </c>
      <c r="D5" s="2" t="s">
        <v>122</v>
      </c>
      <c r="E5" s="2">
        <v>9</v>
      </c>
      <c r="F5" s="2">
        <v>37793.629999999997</v>
      </c>
      <c r="G5" s="2">
        <v>41.43</v>
      </c>
    </row>
    <row r="6" spans="1:9" x14ac:dyDescent="0.25">
      <c r="A6" s="14">
        <v>44931</v>
      </c>
      <c r="B6" s="2" t="s">
        <v>124</v>
      </c>
      <c r="C6" s="2" t="s">
        <v>121</v>
      </c>
      <c r="D6" s="2" t="s">
        <v>125</v>
      </c>
      <c r="E6" s="2">
        <v>25</v>
      </c>
      <c r="F6" s="2">
        <v>44577.77</v>
      </c>
      <c r="G6" s="2">
        <v>13.2</v>
      </c>
    </row>
    <row r="7" spans="1:9" x14ac:dyDescent="0.25">
      <c r="A7" s="14">
        <v>44932</v>
      </c>
      <c r="B7" s="2" t="s">
        <v>120</v>
      </c>
      <c r="C7" s="2" t="s">
        <v>121</v>
      </c>
      <c r="D7" s="2" t="s">
        <v>125</v>
      </c>
      <c r="E7" s="2">
        <v>48</v>
      </c>
      <c r="F7" s="2">
        <v>23727.13</v>
      </c>
      <c r="G7" s="2">
        <v>27.24</v>
      </c>
    </row>
    <row r="8" spans="1:9" x14ac:dyDescent="0.25">
      <c r="A8" s="14">
        <v>44933</v>
      </c>
      <c r="B8" s="2" t="s">
        <v>126</v>
      </c>
      <c r="C8" s="2" t="s">
        <v>121</v>
      </c>
      <c r="D8" s="2" t="s">
        <v>125</v>
      </c>
      <c r="E8" s="2">
        <v>42</v>
      </c>
      <c r="F8" s="2">
        <v>1101.23</v>
      </c>
      <c r="G8" s="2">
        <v>13.27</v>
      </c>
    </row>
    <row r="9" spans="1:9" x14ac:dyDescent="0.25">
      <c r="A9" s="14">
        <v>44934</v>
      </c>
      <c r="B9" s="2" t="s">
        <v>127</v>
      </c>
      <c r="C9" s="2" t="s">
        <v>123</v>
      </c>
      <c r="D9" s="2" t="s">
        <v>125</v>
      </c>
      <c r="E9" s="2">
        <v>38</v>
      </c>
      <c r="F9" s="2">
        <v>27810.37</v>
      </c>
      <c r="G9" s="2">
        <v>28.66</v>
      </c>
    </row>
    <row r="10" spans="1:9" x14ac:dyDescent="0.25">
      <c r="A10" s="14">
        <v>44935</v>
      </c>
      <c r="B10" s="2" t="s">
        <v>127</v>
      </c>
      <c r="C10" s="2" t="s">
        <v>118</v>
      </c>
      <c r="D10" s="2" t="s">
        <v>125</v>
      </c>
      <c r="E10" s="2">
        <v>37</v>
      </c>
      <c r="F10" s="2">
        <v>11487.24</v>
      </c>
      <c r="G10" s="2">
        <v>46.12</v>
      </c>
    </row>
    <row r="11" spans="1:9" x14ac:dyDescent="0.25">
      <c r="A11" s="14">
        <v>44936</v>
      </c>
      <c r="B11" s="2" t="s">
        <v>127</v>
      </c>
      <c r="C11" s="2" t="s">
        <v>123</v>
      </c>
      <c r="D11" s="2" t="s">
        <v>128</v>
      </c>
      <c r="E11" s="2">
        <v>22</v>
      </c>
      <c r="F11" s="2">
        <v>18725.37</v>
      </c>
      <c r="G11" s="2">
        <v>21.37</v>
      </c>
    </row>
    <row r="12" spans="1:9" x14ac:dyDescent="0.25">
      <c r="A12" s="14">
        <v>44937</v>
      </c>
      <c r="B12" s="2" t="s">
        <v>127</v>
      </c>
      <c r="C12" s="2" t="s">
        <v>129</v>
      </c>
      <c r="D12" s="2" t="s">
        <v>122</v>
      </c>
      <c r="E12" s="2">
        <v>2</v>
      </c>
      <c r="F12" s="2">
        <v>48493.86</v>
      </c>
      <c r="G12" s="2">
        <v>49.78</v>
      </c>
    </row>
    <row r="13" spans="1:9" x14ac:dyDescent="0.25">
      <c r="A13" s="14">
        <v>44938</v>
      </c>
      <c r="B13" s="2" t="s">
        <v>127</v>
      </c>
      <c r="C13" s="2" t="s">
        <v>121</v>
      </c>
      <c r="D13" s="2" t="s">
        <v>128</v>
      </c>
      <c r="E13" s="2">
        <v>10</v>
      </c>
      <c r="F13" s="2">
        <v>46466.03</v>
      </c>
      <c r="G13" s="2">
        <v>43.3</v>
      </c>
    </row>
    <row r="14" spans="1:9" x14ac:dyDescent="0.25">
      <c r="A14" s="14">
        <v>44939</v>
      </c>
      <c r="B14" s="2" t="s">
        <v>126</v>
      </c>
      <c r="C14" s="2" t="s">
        <v>129</v>
      </c>
      <c r="D14" s="2" t="s">
        <v>125</v>
      </c>
      <c r="E14" s="2">
        <v>7</v>
      </c>
      <c r="F14" s="2">
        <v>20174.53</v>
      </c>
      <c r="G14" s="2">
        <v>43.35</v>
      </c>
    </row>
    <row r="15" spans="1:9" x14ac:dyDescent="0.25">
      <c r="A15" s="14">
        <v>44940</v>
      </c>
      <c r="B15" s="2" t="s">
        <v>130</v>
      </c>
      <c r="C15" s="2" t="s">
        <v>118</v>
      </c>
      <c r="D15" s="2" t="s">
        <v>125</v>
      </c>
      <c r="E15" s="2">
        <v>2</v>
      </c>
      <c r="F15" s="2">
        <v>10233.99</v>
      </c>
      <c r="G15" s="2">
        <v>6.34</v>
      </c>
    </row>
    <row r="16" spans="1:9" x14ac:dyDescent="0.25">
      <c r="A16" s="14">
        <v>44941</v>
      </c>
      <c r="B16" s="2" t="s">
        <v>130</v>
      </c>
      <c r="C16" s="2" t="s">
        <v>118</v>
      </c>
      <c r="D16" s="2" t="s">
        <v>128</v>
      </c>
      <c r="E16" s="2">
        <v>7</v>
      </c>
      <c r="F16" s="2">
        <v>49866.22</v>
      </c>
      <c r="G16" s="2">
        <v>17.329999999999998</v>
      </c>
    </row>
    <row r="17" spans="1:7" x14ac:dyDescent="0.25">
      <c r="A17" s="14">
        <v>44942</v>
      </c>
      <c r="B17" s="2" t="s">
        <v>131</v>
      </c>
      <c r="C17" s="2" t="s">
        <v>123</v>
      </c>
      <c r="D17" s="2" t="s">
        <v>122</v>
      </c>
      <c r="E17" s="2">
        <v>26</v>
      </c>
      <c r="F17" s="2">
        <v>16940.849999999999</v>
      </c>
      <c r="G17" s="2">
        <v>22.85</v>
      </c>
    </row>
    <row r="18" spans="1:7" x14ac:dyDescent="0.25">
      <c r="A18" s="14">
        <v>44943</v>
      </c>
      <c r="B18" s="2" t="s">
        <v>43</v>
      </c>
      <c r="C18" s="2" t="s">
        <v>123</v>
      </c>
      <c r="D18" s="2" t="s">
        <v>125</v>
      </c>
      <c r="E18" s="2">
        <v>45</v>
      </c>
      <c r="F18" s="2">
        <v>26548.14</v>
      </c>
      <c r="G18" s="2">
        <v>25.6</v>
      </c>
    </row>
    <row r="19" spans="1:7" x14ac:dyDescent="0.25">
      <c r="A19" s="14">
        <v>44944</v>
      </c>
      <c r="B19" s="2" t="s">
        <v>131</v>
      </c>
      <c r="C19" s="2" t="s">
        <v>129</v>
      </c>
      <c r="D19" s="2" t="s">
        <v>125</v>
      </c>
      <c r="E19" s="2">
        <v>38</v>
      </c>
      <c r="F19" s="2">
        <v>44641.52</v>
      </c>
      <c r="G19" s="2">
        <v>10.48</v>
      </c>
    </row>
    <row r="20" spans="1:7" x14ac:dyDescent="0.25">
      <c r="A20" s="14">
        <v>44945</v>
      </c>
      <c r="B20" s="2" t="s">
        <v>43</v>
      </c>
      <c r="C20" s="2" t="s">
        <v>118</v>
      </c>
      <c r="D20" s="2" t="s">
        <v>122</v>
      </c>
      <c r="E20" s="2">
        <v>11</v>
      </c>
      <c r="F20" s="2">
        <v>48220.57</v>
      </c>
      <c r="G20" s="2">
        <v>39.200000000000003</v>
      </c>
    </row>
    <row r="21" spans="1:7" x14ac:dyDescent="0.25">
      <c r="A21" s="14">
        <v>44946</v>
      </c>
      <c r="B21" s="2" t="s">
        <v>132</v>
      </c>
      <c r="C21" s="2" t="s">
        <v>123</v>
      </c>
      <c r="D21" s="2" t="s">
        <v>125</v>
      </c>
      <c r="E21" s="2">
        <v>19</v>
      </c>
      <c r="F21" s="2">
        <v>43555.96</v>
      </c>
      <c r="G21" s="2">
        <v>38.67</v>
      </c>
    </row>
    <row r="22" spans="1:7" x14ac:dyDescent="0.25">
      <c r="A22" s="14">
        <v>44947</v>
      </c>
      <c r="B22" s="2" t="s">
        <v>126</v>
      </c>
      <c r="C22" s="2" t="s">
        <v>121</v>
      </c>
      <c r="D22" s="2" t="s">
        <v>119</v>
      </c>
      <c r="E22" s="2">
        <v>18</v>
      </c>
      <c r="F22" s="2">
        <v>20130.560000000001</v>
      </c>
      <c r="G22" s="2">
        <v>43.34</v>
      </c>
    </row>
    <row r="23" spans="1:7" x14ac:dyDescent="0.25">
      <c r="A23" s="14">
        <v>44948</v>
      </c>
      <c r="B23" s="2" t="s">
        <v>130</v>
      </c>
      <c r="C23" s="2" t="s">
        <v>123</v>
      </c>
      <c r="D23" s="2" t="s">
        <v>128</v>
      </c>
      <c r="E23" s="2">
        <v>28</v>
      </c>
      <c r="F23" s="2">
        <v>36005.86</v>
      </c>
      <c r="G23" s="2">
        <v>15.28</v>
      </c>
    </row>
    <row r="24" spans="1:7" x14ac:dyDescent="0.25">
      <c r="A24" s="14">
        <v>44949</v>
      </c>
      <c r="B24" s="2" t="s">
        <v>120</v>
      </c>
      <c r="C24" s="2" t="s">
        <v>118</v>
      </c>
      <c r="D24" s="2" t="s">
        <v>119</v>
      </c>
      <c r="E24" s="2">
        <v>4</v>
      </c>
      <c r="F24" s="2">
        <v>10396.84</v>
      </c>
      <c r="G24" s="2">
        <v>20.2</v>
      </c>
    </row>
    <row r="25" spans="1:7" x14ac:dyDescent="0.25">
      <c r="A25" s="14">
        <v>44950</v>
      </c>
      <c r="B25" s="2" t="s">
        <v>133</v>
      </c>
      <c r="C25" s="2" t="s">
        <v>118</v>
      </c>
      <c r="D25" s="2" t="s">
        <v>128</v>
      </c>
      <c r="E25" s="2">
        <v>2</v>
      </c>
      <c r="F25" s="2">
        <v>41740.93</v>
      </c>
      <c r="G25" s="2">
        <v>26.9</v>
      </c>
    </row>
    <row r="26" spans="1:7" x14ac:dyDescent="0.25">
      <c r="A26" s="14">
        <v>44951</v>
      </c>
      <c r="B26" s="2" t="s">
        <v>133</v>
      </c>
      <c r="C26" s="2" t="s">
        <v>129</v>
      </c>
      <c r="D26" s="2" t="s">
        <v>122</v>
      </c>
      <c r="E26" s="2">
        <v>49</v>
      </c>
      <c r="F26" s="2">
        <v>37420.230000000003</v>
      </c>
      <c r="G26" s="2">
        <v>49.01</v>
      </c>
    </row>
    <row r="27" spans="1:7" x14ac:dyDescent="0.25">
      <c r="A27" s="14">
        <v>44952</v>
      </c>
      <c r="B27" s="2" t="s">
        <v>131</v>
      </c>
      <c r="C27" s="2" t="s">
        <v>129</v>
      </c>
      <c r="D27" s="2" t="s">
        <v>119</v>
      </c>
      <c r="E27" s="2">
        <v>6</v>
      </c>
      <c r="F27" s="2">
        <v>24660.68</v>
      </c>
      <c r="G27" s="2">
        <v>36.159999999999997</v>
      </c>
    </row>
    <row r="28" spans="1:7" x14ac:dyDescent="0.25">
      <c r="A28" s="14">
        <v>44953</v>
      </c>
      <c r="B28" s="2" t="s">
        <v>117</v>
      </c>
      <c r="C28" s="2" t="s">
        <v>129</v>
      </c>
      <c r="D28" s="2" t="s">
        <v>122</v>
      </c>
      <c r="E28" s="2">
        <v>48</v>
      </c>
      <c r="F28" s="2">
        <v>1303.94</v>
      </c>
      <c r="G28" s="2">
        <v>16.87</v>
      </c>
    </row>
    <row r="29" spans="1:7" x14ac:dyDescent="0.25">
      <c r="A29" s="14">
        <v>44954</v>
      </c>
      <c r="B29" s="2" t="s">
        <v>117</v>
      </c>
      <c r="C29" s="2" t="s">
        <v>129</v>
      </c>
      <c r="D29" s="2" t="s">
        <v>122</v>
      </c>
      <c r="E29" s="2">
        <v>21</v>
      </c>
      <c r="F29" s="2">
        <v>7368.06</v>
      </c>
      <c r="G29" s="2">
        <v>40.54</v>
      </c>
    </row>
    <row r="30" spans="1:7" x14ac:dyDescent="0.25">
      <c r="A30" s="14">
        <v>44955</v>
      </c>
      <c r="B30" s="2" t="s">
        <v>127</v>
      </c>
      <c r="C30" s="2" t="s">
        <v>118</v>
      </c>
      <c r="D30" s="2" t="s">
        <v>125</v>
      </c>
      <c r="E30" s="2">
        <v>40</v>
      </c>
      <c r="F30" s="2">
        <v>26963.08</v>
      </c>
      <c r="G30" s="2">
        <v>36.520000000000003</v>
      </c>
    </row>
    <row r="31" spans="1:7" x14ac:dyDescent="0.25">
      <c r="A31" s="14">
        <v>44956</v>
      </c>
      <c r="B31" s="2" t="s">
        <v>117</v>
      </c>
      <c r="C31" s="2" t="s">
        <v>129</v>
      </c>
      <c r="D31" s="2" t="s">
        <v>122</v>
      </c>
      <c r="E31" s="2">
        <v>20</v>
      </c>
      <c r="F31" s="2">
        <v>7134.56</v>
      </c>
      <c r="G31" s="2">
        <v>40.409999999999997</v>
      </c>
    </row>
    <row r="32" spans="1:7" x14ac:dyDescent="0.25">
      <c r="A32" s="14">
        <v>44957</v>
      </c>
      <c r="B32" s="2" t="s">
        <v>120</v>
      </c>
      <c r="C32" s="2" t="s">
        <v>118</v>
      </c>
      <c r="D32" s="2" t="s">
        <v>122</v>
      </c>
      <c r="E32" s="2">
        <v>45</v>
      </c>
      <c r="F32" s="2">
        <v>43417.04</v>
      </c>
      <c r="G32" s="2">
        <v>10.53</v>
      </c>
    </row>
    <row r="33" spans="1:7" x14ac:dyDescent="0.25">
      <c r="A33" s="14">
        <v>44958</v>
      </c>
      <c r="B33" s="2" t="s">
        <v>133</v>
      </c>
      <c r="C33" s="2" t="s">
        <v>121</v>
      </c>
      <c r="D33" s="2" t="s">
        <v>128</v>
      </c>
      <c r="E33" s="2">
        <v>3</v>
      </c>
      <c r="F33" s="2">
        <v>4113.8599999999997</v>
      </c>
      <c r="G33" s="2">
        <v>31.49</v>
      </c>
    </row>
    <row r="34" spans="1:7" x14ac:dyDescent="0.25">
      <c r="A34" s="14">
        <v>44959</v>
      </c>
      <c r="B34" s="2" t="s">
        <v>130</v>
      </c>
      <c r="C34" s="2" t="s">
        <v>129</v>
      </c>
      <c r="D34" s="2" t="s">
        <v>128</v>
      </c>
      <c r="E34" s="2">
        <v>43</v>
      </c>
      <c r="F34" s="2">
        <v>2458.65</v>
      </c>
      <c r="G34" s="2">
        <v>25.52</v>
      </c>
    </row>
    <row r="35" spans="1:7" x14ac:dyDescent="0.25">
      <c r="A35" s="14">
        <v>44960</v>
      </c>
      <c r="B35" s="2" t="s">
        <v>126</v>
      </c>
      <c r="C35" s="2" t="s">
        <v>123</v>
      </c>
      <c r="D35" s="2" t="s">
        <v>119</v>
      </c>
      <c r="E35" s="2">
        <v>37</v>
      </c>
      <c r="F35" s="2">
        <v>19573.28</v>
      </c>
      <c r="G35" s="2">
        <v>23.01</v>
      </c>
    </row>
    <row r="36" spans="1:7" x14ac:dyDescent="0.25">
      <c r="A36" s="14">
        <v>44961</v>
      </c>
      <c r="B36" s="2" t="s">
        <v>133</v>
      </c>
      <c r="C36" s="2" t="s">
        <v>129</v>
      </c>
      <c r="D36" s="2" t="s">
        <v>128</v>
      </c>
      <c r="E36" s="2">
        <v>33</v>
      </c>
      <c r="F36" s="2">
        <v>23148.89</v>
      </c>
      <c r="G36" s="2">
        <v>44.66</v>
      </c>
    </row>
    <row r="37" spans="1:7" x14ac:dyDescent="0.25">
      <c r="A37" s="14">
        <v>44962</v>
      </c>
      <c r="B37" s="2" t="s">
        <v>120</v>
      </c>
      <c r="C37" s="2" t="s">
        <v>118</v>
      </c>
      <c r="D37" s="2" t="s">
        <v>119</v>
      </c>
      <c r="E37" s="2">
        <v>23</v>
      </c>
      <c r="F37" s="2">
        <v>31352.639999999999</v>
      </c>
      <c r="G37" s="2">
        <v>15.72</v>
      </c>
    </row>
    <row r="38" spans="1:7" x14ac:dyDescent="0.25">
      <c r="A38" s="14">
        <v>44963</v>
      </c>
      <c r="B38" s="2" t="s">
        <v>120</v>
      </c>
      <c r="C38" s="2" t="s">
        <v>118</v>
      </c>
      <c r="D38" s="2" t="s">
        <v>119</v>
      </c>
      <c r="E38" s="2">
        <v>7</v>
      </c>
      <c r="F38" s="2">
        <v>16810.62</v>
      </c>
      <c r="G38" s="2">
        <v>11.86</v>
      </c>
    </row>
    <row r="39" spans="1:7" x14ac:dyDescent="0.25">
      <c r="A39" s="14">
        <v>44964</v>
      </c>
      <c r="B39" s="2" t="s">
        <v>43</v>
      </c>
      <c r="C39" s="2" t="s">
        <v>123</v>
      </c>
      <c r="D39" s="2" t="s">
        <v>119</v>
      </c>
      <c r="E39" s="2">
        <v>4</v>
      </c>
      <c r="F39" s="2">
        <v>4565.04</v>
      </c>
      <c r="G39" s="2">
        <v>35.49</v>
      </c>
    </row>
    <row r="40" spans="1:7" x14ac:dyDescent="0.25">
      <c r="A40" s="14">
        <v>44965</v>
      </c>
      <c r="B40" s="2" t="s">
        <v>131</v>
      </c>
      <c r="C40" s="2" t="s">
        <v>121</v>
      </c>
      <c r="D40" s="2" t="s">
        <v>125</v>
      </c>
      <c r="E40" s="2">
        <v>17</v>
      </c>
      <c r="F40" s="2">
        <v>29414.36</v>
      </c>
      <c r="G40" s="2">
        <v>14.59</v>
      </c>
    </row>
    <row r="41" spans="1:7" x14ac:dyDescent="0.25">
      <c r="A41" s="14">
        <v>44966</v>
      </c>
      <c r="B41" s="2" t="s">
        <v>131</v>
      </c>
      <c r="C41" s="2" t="s">
        <v>123</v>
      </c>
      <c r="D41" s="2" t="s">
        <v>122</v>
      </c>
      <c r="E41" s="2">
        <v>26</v>
      </c>
      <c r="F41" s="2">
        <v>41633.019999999997</v>
      </c>
      <c r="G41" s="2">
        <v>23.7</v>
      </c>
    </row>
    <row r="42" spans="1:7" x14ac:dyDescent="0.25">
      <c r="A42" s="14">
        <v>44967</v>
      </c>
      <c r="B42" s="2" t="s">
        <v>132</v>
      </c>
      <c r="C42" s="2" t="s">
        <v>123</v>
      </c>
      <c r="D42" s="2" t="s">
        <v>128</v>
      </c>
      <c r="E42" s="2">
        <v>15</v>
      </c>
      <c r="F42" s="2">
        <v>15509.08</v>
      </c>
      <c r="G42" s="2">
        <v>8.69</v>
      </c>
    </row>
    <row r="43" spans="1:7" x14ac:dyDescent="0.25">
      <c r="A43" s="14">
        <v>44968</v>
      </c>
      <c r="B43" s="2" t="s">
        <v>132</v>
      </c>
      <c r="C43" s="2" t="s">
        <v>123</v>
      </c>
      <c r="D43" s="2" t="s">
        <v>122</v>
      </c>
      <c r="E43" s="2">
        <v>9</v>
      </c>
      <c r="F43" s="2">
        <v>17725.75</v>
      </c>
      <c r="G43" s="2">
        <v>23.57</v>
      </c>
    </row>
    <row r="44" spans="1:7" x14ac:dyDescent="0.25">
      <c r="A44" s="14">
        <v>44969</v>
      </c>
      <c r="B44" s="2" t="s">
        <v>43</v>
      </c>
      <c r="C44" s="2" t="s">
        <v>129</v>
      </c>
      <c r="D44" s="2" t="s">
        <v>122</v>
      </c>
      <c r="E44" s="2">
        <v>43</v>
      </c>
      <c r="F44" s="2">
        <v>28038.59</v>
      </c>
      <c r="G44" s="2">
        <v>45.12</v>
      </c>
    </row>
    <row r="45" spans="1:7" x14ac:dyDescent="0.25">
      <c r="A45" s="14">
        <v>44970</v>
      </c>
      <c r="B45" s="2" t="s">
        <v>127</v>
      </c>
      <c r="C45" s="2" t="s">
        <v>121</v>
      </c>
      <c r="D45" s="2" t="s">
        <v>122</v>
      </c>
      <c r="E45" s="2">
        <v>32</v>
      </c>
      <c r="F45" s="2">
        <v>43129.5</v>
      </c>
      <c r="G45" s="2">
        <v>26.22</v>
      </c>
    </row>
    <row r="46" spans="1:7" x14ac:dyDescent="0.25">
      <c r="A46" s="14">
        <v>44971</v>
      </c>
      <c r="B46" s="2" t="s">
        <v>117</v>
      </c>
      <c r="C46" s="2" t="s">
        <v>129</v>
      </c>
      <c r="D46" s="2" t="s">
        <v>128</v>
      </c>
      <c r="E46" s="2">
        <v>36</v>
      </c>
      <c r="F46" s="2">
        <v>30982.400000000001</v>
      </c>
      <c r="G46" s="2">
        <v>24.04</v>
      </c>
    </row>
    <row r="47" spans="1:7" x14ac:dyDescent="0.25">
      <c r="A47" s="14">
        <v>44972</v>
      </c>
      <c r="B47" s="2" t="s">
        <v>126</v>
      </c>
      <c r="C47" s="2" t="s">
        <v>129</v>
      </c>
      <c r="D47" s="2" t="s">
        <v>125</v>
      </c>
      <c r="E47" s="2">
        <v>43</v>
      </c>
      <c r="F47" s="2">
        <v>3507.27</v>
      </c>
      <c r="G47" s="2">
        <v>31.47</v>
      </c>
    </row>
    <row r="48" spans="1:7" x14ac:dyDescent="0.25">
      <c r="A48" s="14">
        <v>44973</v>
      </c>
      <c r="B48" s="2" t="s">
        <v>127</v>
      </c>
      <c r="C48" s="2" t="s">
        <v>118</v>
      </c>
      <c r="D48" s="2" t="s">
        <v>122</v>
      </c>
      <c r="E48" s="2">
        <v>38</v>
      </c>
      <c r="F48" s="2">
        <v>32601.53</v>
      </c>
      <c r="G48" s="2">
        <v>30.42</v>
      </c>
    </row>
    <row r="49" spans="1:7" x14ac:dyDescent="0.25">
      <c r="A49" s="14">
        <v>44974</v>
      </c>
      <c r="B49" s="2" t="s">
        <v>132</v>
      </c>
      <c r="C49" s="2" t="s">
        <v>123</v>
      </c>
      <c r="D49" s="2" t="s">
        <v>119</v>
      </c>
      <c r="E49" s="2">
        <v>37</v>
      </c>
      <c r="F49" s="2">
        <v>44073.91</v>
      </c>
      <c r="G49" s="2">
        <v>47.34</v>
      </c>
    </row>
    <row r="50" spans="1:7" x14ac:dyDescent="0.25">
      <c r="A50" s="14">
        <v>44975</v>
      </c>
      <c r="B50" s="2" t="s">
        <v>126</v>
      </c>
      <c r="C50" s="2" t="s">
        <v>123</v>
      </c>
      <c r="D50" s="2" t="s">
        <v>119</v>
      </c>
      <c r="E50" s="2">
        <v>2</v>
      </c>
      <c r="F50" s="2">
        <v>16134.68</v>
      </c>
      <c r="G50" s="2">
        <v>16.97</v>
      </c>
    </row>
    <row r="51" spans="1:7" x14ac:dyDescent="0.25">
      <c r="A51" s="14">
        <v>44976</v>
      </c>
      <c r="B51" s="2" t="s">
        <v>132</v>
      </c>
      <c r="C51" s="2" t="s">
        <v>129</v>
      </c>
      <c r="D51" s="2" t="s">
        <v>119</v>
      </c>
      <c r="E51" s="2">
        <v>31</v>
      </c>
      <c r="F51" s="2">
        <v>25097.95</v>
      </c>
      <c r="G51" s="2">
        <v>34.76</v>
      </c>
    </row>
    <row r="52" spans="1:7" x14ac:dyDescent="0.25">
      <c r="A52" s="14">
        <v>44977</v>
      </c>
      <c r="B52" s="2" t="s">
        <v>124</v>
      </c>
      <c r="C52" s="2" t="s">
        <v>123</v>
      </c>
      <c r="D52" s="2" t="s">
        <v>122</v>
      </c>
      <c r="E52" s="2">
        <v>15</v>
      </c>
      <c r="F52" s="2">
        <v>32873.64</v>
      </c>
      <c r="G52" s="2">
        <v>19.850000000000001</v>
      </c>
    </row>
    <row r="53" spans="1:7" x14ac:dyDescent="0.25">
      <c r="A53" s="14">
        <v>44978</v>
      </c>
      <c r="B53" s="2" t="s">
        <v>133</v>
      </c>
      <c r="C53" s="2" t="s">
        <v>129</v>
      </c>
      <c r="D53" s="2" t="s">
        <v>125</v>
      </c>
      <c r="E53" s="2">
        <v>4</v>
      </c>
      <c r="F53" s="2">
        <v>9191.16</v>
      </c>
      <c r="G53" s="2">
        <v>25.07</v>
      </c>
    </row>
    <row r="54" spans="1:7" x14ac:dyDescent="0.25">
      <c r="A54" s="14">
        <v>44979</v>
      </c>
      <c r="B54" s="2" t="s">
        <v>131</v>
      </c>
      <c r="C54" s="2" t="s">
        <v>118</v>
      </c>
      <c r="D54" s="2" t="s">
        <v>119</v>
      </c>
      <c r="E54" s="2">
        <v>50</v>
      </c>
      <c r="F54" s="2">
        <v>14201.08</v>
      </c>
      <c r="G54" s="2">
        <v>29.23</v>
      </c>
    </row>
    <row r="55" spans="1:7" x14ac:dyDescent="0.25">
      <c r="A55" s="14">
        <v>44980</v>
      </c>
      <c r="B55" s="2" t="s">
        <v>131</v>
      </c>
      <c r="C55" s="2" t="s">
        <v>121</v>
      </c>
      <c r="D55" s="2" t="s">
        <v>119</v>
      </c>
      <c r="E55" s="2">
        <v>40</v>
      </c>
      <c r="F55" s="2">
        <v>28422.41</v>
      </c>
      <c r="G55" s="2">
        <v>41.58</v>
      </c>
    </row>
    <row r="56" spans="1:7" x14ac:dyDescent="0.25">
      <c r="A56" s="14">
        <v>44981</v>
      </c>
      <c r="B56" s="2" t="s">
        <v>127</v>
      </c>
      <c r="C56" s="2" t="s">
        <v>121</v>
      </c>
      <c r="D56" s="2" t="s">
        <v>125</v>
      </c>
      <c r="E56" s="2">
        <v>40</v>
      </c>
      <c r="F56" s="2">
        <v>39401.46</v>
      </c>
      <c r="G56" s="2">
        <v>6.61</v>
      </c>
    </row>
    <row r="57" spans="1:7" x14ac:dyDescent="0.25">
      <c r="A57" s="14">
        <v>44982</v>
      </c>
      <c r="B57" s="2" t="s">
        <v>43</v>
      </c>
      <c r="C57" s="2" t="s">
        <v>129</v>
      </c>
      <c r="D57" s="2" t="s">
        <v>119</v>
      </c>
      <c r="E57" s="2">
        <v>33</v>
      </c>
      <c r="F57" s="2">
        <v>44380.18</v>
      </c>
      <c r="G57" s="2">
        <v>46.46</v>
      </c>
    </row>
    <row r="58" spans="1:7" x14ac:dyDescent="0.25">
      <c r="A58" s="14">
        <v>44983</v>
      </c>
      <c r="B58" s="2" t="s">
        <v>120</v>
      </c>
      <c r="C58" s="2" t="s">
        <v>121</v>
      </c>
      <c r="D58" s="2" t="s">
        <v>128</v>
      </c>
      <c r="E58" s="2">
        <v>1</v>
      </c>
      <c r="F58" s="2">
        <v>25488.67</v>
      </c>
      <c r="G58" s="2">
        <v>24.31</v>
      </c>
    </row>
    <row r="59" spans="1:7" x14ac:dyDescent="0.25">
      <c r="A59" s="14">
        <v>44984</v>
      </c>
      <c r="B59" s="2" t="s">
        <v>124</v>
      </c>
      <c r="C59" s="2" t="s">
        <v>123</v>
      </c>
      <c r="D59" s="2" t="s">
        <v>128</v>
      </c>
      <c r="E59" s="2">
        <v>50</v>
      </c>
      <c r="F59" s="2">
        <v>15776.29</v>
      </c>
      <c r="G59" s="2">
        <v>13.77</v>
      </c>
    </row>
    <row r="60" spans="1:7" x14ac:dyDescent="0.25">
      <c r="A60" s="14">
        <v>44985</v>
      </c>
      <c r="B60" s="2" t="s">
        <v>43</v>
      </c>
      <c r="C60" s="2" t="s">
        <v>118</v>
      </c>
      <c r="D60" s="2" t="s">
        <v>125</v>
      </c>
      <c r="E60" s="2">
        <v>15</v>
      </c>
      <c r="F60" s="2">
        <v>38830.620000000003</v>
      </c>
      <c r="G60" s="2">
        <v>36.479999999999997</v>
      </c>
    </row>
    <row r="61" spans="1:7" x14ac:dyDescent="0.25">
      <c r="A61" s="14">
        <v>44986</v>
      </c>
      <c r="B61" s="2" t="s">
        <v>130</v>
      </c>
      <c r="C61" s="2" t="s">
        <v>129</v>
      </c>
      <c r="D61" s="2" t="s">
        <v>128</v>
      </c>
      <c r="E61" s="2">
        <v>28</v>
      </c>
      <c r="F61" s="2">
        <v>42573.96</v>
      </c>
      <c r="G61" s="2">
        <v>27.89</v>
      </c>
    </row>
    <row r="62" spans="1:7" x14ac:dyDescent="0.25">
      <c r="A62" s="14">
        <v>44987</v>
      </c>
      <c r="B62" s="2" t="s">
        <v>130</v>
      </c>
      <c r="C62" s="2" t="s">
        <v>129</v>
      </c>
      <c r="D62" s="2" t="s">
        <v>125</v>
      </c>
      <c r="E62" s="2">
        <v>38</v>
      </c>
      <c r="F62" s="2">
        <v>3050.73</v>
      </c>
      <c r="G62" s="2">
        <v>28.73</v>
      </c>
    </row>
    <row r="63" spans="1:7" x14ac:dyDescent="0.25">
      <c r="A63" s="14">
        <v>44988</v>
      </c>
      <c r="B63" s="2" t="s">
        <v>130</v>
      </c>
      <c r="C63" s="2" t="s">
        <v>121</v>
      </c>
      <c r="D63" s="2" t="s">
        <v>128</v>
      </c>
      <c r="E63" s="2">
        <v>11</v>
      </c>
      <c r="F63" s="2">
        <v>39656.33</v>
      </c>
      <c r="G63" s="2">
        <v>9.44</v>
      </c>
    </row>
    <row r="64" spans="1:7" x14ac:dyDescent="0.25">
      <c r="A64" s="14">
        <v>44989</v>
      </c>
      <c r="B64" s="2" t="s">
        <v>117</v>
      </c>
      <c r="C64" s="2" t="s">
        <v>129</v>
      </c>
      <c r="D64" s="2" t="s">
        <v>122</v>
      </c>
      <c r="E64" s="2">
        <v>15</v>
      </c>
      <c r="F64" s="2">
        <v>23408.29</v>
      </c>
      <c r="G64" s="2">
        <v>22.24</v>
      </c>
    </row>
    <row r="65" spans="1:7" x14ac:dyDescent="0.25">
      <c r="A65" s="14">
        <v>44990</v>
      </c>
      <c r="B65" s="2" t="s">
        <v>120</v>
      </c>
      <c r="C65" s="2" t="s">
        <v>121</v>
      </c>
      <c r="D65" s="2" t="s">
        <v>122</v>
      </c>
      <c r="E65" s="2">
        <v>1</v>
      </c>
      <c r="F65" s="2">
        <v>36060.230000000003</v>
      </c>
      <c r="G65" s="2">
        <v>35.56</v>
      </c>
    </row>
    <row r="66" spans="1:7" x14ac:dyDescent="0.25">
      <c r="A66" s="14">
        <v>44991</v>
      </c>
      <c r="B66" s="2" t="s">
        <v>130</v>
      </c>
      <c r="C66" s="2" t="s">
        <v>118</v>
      </c>
      <c r="D66" s="2" t="s">
        <v>122</v>
      </c>
      <c r="E66" s="2">
        <v>11</v>
      </c>
      <c r="F66" s="2">
        <v>42732.61</v>
      </c>
      <c r="G66" s="2">
        <v>12.67</v>
      </c>
    </row>
    <row r="67" spans="1:7" x14ac:dyDescent="0.25">
      <c r="A67" s="14">
        <v>44992</v>
      </c>
      <c r="B67" s="2" t="s">
        <v>132</v>
      </c>
      <c r="C67" s="2" t="s">
        <v>123</v>
      </c>
      <c r="D67" s="2" t="s">
        <v>119</v>
      </c>
      <c r="E67" s="2">
        <v>35</v>
      </c>
      <c r="F67" s="2">
        <v>1695.49</v>
      </c>
      <c r="G67" s="2">
        <v>9.81</v>
      </c>
    </row>
    <row r="68" spans="1:7" x14ac:dyDescent="0.25">
      <c r="A68" s="14">
        <v>44993</v>
      </c>
      <c r="B68" s="2" t="s">
        <v>126</v>
      </c>
      <c r="C68" s="2" t="s">
        <v>123</v>
      </c>
      <c r="D68" s="2" t="s">
        <v>128</v>
      </c>
      <c r="E68" s="2">
        <v>20</v>
      </c>
      <c r="F68" s="2">
        <v>26251.200000000001</v>
      </c>
      <c r="G68" s="2">
        <v>31.43</v>
      </c>
    </row>
    <row r="69" spans="1:7" x14ac:dyDescent="0.25">
      <c r="A69" s="14">
        <v>44994</v>
      </c>
      <c r="B69" s="2" t="s">
        <v>43</v>
      </c>
      <c r="C69" s="2" t="s">
        <v>121</v>
      </c>
      <c r="D69" s="2" t="s">
        <v>125</v>
      </c>
      <c r="E69" s="2">
        <v>23</v>
      </c>
      <c r="F69" s="2">
        <v>39307.54</v>
      </c>
      <c r="G69" s="2">
        <v>22.62</v>
      </c>
    </row>
    <row r="70" spans="1:7" x14ac:dyDescent="0.25">
      <c r="A70" s="14">
        <v>44995</v>
      </c>
      <c r="B70" s="2" t="s">
        <v>132</v>
      </c>
      <c r="C70" s="2" t="s">
        <v>129</v>
      </c>
      <c r="D70" s="2" t="s">
        <v>122</v>
      </c>
      <c r="E70" s="2">
        <v>5</v>
      </c>
      <c r="F70" s="2">
        <v>5293.11</v>
      </c>
      <c r="G70" s="2">
        <v>43.41</v>
      </c>
    </row>
    <row r="71" spans="1:7" x14ac:dyDescent="0.25">
      <c r="A71" s="14">
        <v>44996</v>
      </c>
      <c r="B71" s="2" t="s">
        <v>132</v>
      </c>
      <c r="C71" s="2" t="s">
        <v>123</v>
      </c>
      <c r="D71" s="2" t="s">
        <v>122</v>
      </c>
      <c r="E71" s="2">
        <v>40</v>
      </c>
      <c r="F71" s="2">
        <v>34665.67</v>
      </c>
      <c r="G71" s="2">
        <v>6.4</v>
      </c>
    </row>
    <row r="72" spans="1:7" x14ac:dyDescent="0.25">
      <c r="A72" s="14">
        <v>44997</v>
      </c>
      <c r="B72" s="2" t="s">
        <v>132</v>
      </c>
      <c r="C72" s="2" t="s">
        <v>118</v>
      </c>
      <c r="D72" s="2" t="s">
        <v>119</v>
      </c>
      <c r="E72" s="2">
        <v>20</v>
      </c>
      <c r="F72" s="2">
        <v>21611.87</v>
      </c>
      <c r="G72" s="2">
        <v>10.08</v>
      </c>
    </row>
    <row r="73" spans="1:7" x14ac:dyDescent="0.25">
      <c r="A73" s="14">
        <v>44998</v>
      </c>
      <c r="B73" s="2" t="s">
        <v>132</v>
      </c>
      <c r="C73" s="2" t="s">
        <v>118</v>
      </c>
      <c r="D73" s="2" t="s">
        <v>122</v>
      </c>
      <c r="E73" s="2">
        <v>43</v>
      </c>
      <c r="F73" s="2">
        <v>16880.419999999998</v>
      </c>
      <c r="G73" s="2">
        <v>30.32</v>
      </c>
    </row>
    <row r="74" spans="1:7" x14ac:dyDescent="0.25">
      <c r="A74" s="14">
        <v>44999</v>
      </c>
      <c r="B74" s="2" t="s">
        <v>124</v>
      </c>
      <c r="C74" s="2" t="s">
        <v>121</v>
      </c>
      <c r="D74" s="2" t="s">
        <v>119</v>
      </c>
      <c r="E74" s="2">
        <v>47</v>
      </c>
      <c r="F74" s="2">
        <v>5721.55</v>
      </c>
      <c r="G74" s="2">
        <v>44.28</v>
      </c>
    </row>
    <row r="75" spans="1:7" x14ac:dyDescent="0.25">
      <c r="A75" s="14">
        <v>45000</v>
      </c>
      <c r="B75" s="2" t="s">
        <v>120</v>
      </c>
      <c r="C75" s="2" t="s">
        <v>123</v>
      </c>
      <c r="D75" s="2" t="s">
        <v>125</v>
      </c>
      <c r="E75" s="2">
        <v>32</v>
      </c>
      <c r="F75" s="2">
        <v>8467.4599999999991</v>
      </c>
      <c r="G75" s="2">
        <v>35.08</v>
      </c>
    </row>
    <row r="76" spans="1:7" x14ac:dyDescent="0.25">
      <c r="A76" s="14">
        <v>45001</v>
      </c>
      <c r="B76" s="2" t="s">
        <v>127</v>
      </c>
      <c r="C76" s="2" t="s">
        <v>118</v>
      </c>
      <c r="D76" s="2" t="s">
        <v>122</v>
      </c>
      <c r="E76" s="2">
        <v>33</v>
      </c>
      <c r="F76" s="2">
        <v>45938.38</v>
      </c>
      <c r="G76" s="2">
        <v>24.53</v>
      </c>
    </row>
    <row r="77" spans="1:7" x14ac:dyDescent="0.25">
      <c r="A77" s="14">
        <v>45002</v>
      </c>
      <c r="B77" s="2" t="s">
        <v>132</v>
      </c>
      <c r="C77" s="2" t="s">
        <v>118</v>
      </c>
      <c r="D77" s="2" t="s">
        <v>119</v>
      </c>
      <c r="E77" s="2">
        <v>21</v>
      </c>
      <c r="F77" s="2">
        <v>35273.839999999997</v>
      </c>
      <c r="G77" s="2">
        <v>17.86</v>
      </c>
    </row>
    <row r="78" spans="1:7" x14ac:dyDescent="0.25">
      <c r="A78" s="14">
        <v>45003</v>
      </c>
      <c r="B78" s="2" t="s">
        <v>131</v>
      </c>
      <c r="C78" s="2" t="s">
        <v>118</v>
      </c>
      <c r="D78" s="2" t="s">
        <v>128</v>
      </c>
      <c r="E78" s="2">
        <v>42</v>
      </c>
      <c r="F78" s="2">
        <v>32274.65</v>
      </c>
      <c r="G78" s="2">
        <v>19.68</v>
      </c>
    </row>
    <row r="79" spans="1:7" x14ac:dyDescent="0.25">
      <c r="A79" s="14">
        <v>45004</v>
      </c>
      <c r="B79" s="2" t="s">
        <v>133</v>
      </c>
      <c r="C79" s="2" t="s">
        <v>118</v>
      </c>
      <c r="D79" s="2" t="s">
        <v>125</v>
      </c>
      <c r="E79" s="2">
        <v>12</v>
      </c>
      <c r="F79" s="2">
        <v>29889.18</v>
      </c>
      <c r="G79" s="2">
        <v>23.77</v>
      </c>
    </row>
    <row r="80" spans="1:7" x14ac:dyDescent="0.25">
      <c r="A80" s="14">
        <v>45005</v>
      </c>
      <c r="B80" s="2" t="s">
        <v>133</v>
      </c>
      <c r="C80" s="2" t="s">
        <v>118</v>
      </c>
      <c r="D80" s="2" t="s">
        <v>122</v>
      </c>
      <c r="E80" s="2">
        <v>11</v>
      </c>
      <c r="F80" s="2">
        <v>39462.019999999997</v>
      </c>
      <c r="G80" s="2">
        <v>38.29</v>
      </c>
    </row>
    <row r="81" spans="1:7" x14ac:dyDescent="0.25">
      <c r="A81" s="14">
        <v>45006</v>
      </c>
      <c r="B81" s="2" t="s">
        <v>127</v>
      </c>
      <c r="C81" s="2" t="s">
        <v>123</v>
      </c>
      <c r="D81" s="2" t="s">
        <v>122</v>
      </c>
      <c r="E81" s="2">
        <v>40</v>
      </c>
      <c r="F81" s="2">
        <v>15127.21</v>
      </c>
      <c r="G81" s="2">
        <v>33.880000000000003</v>
      </c>
    </row>
    <row r="82" spans="1:7" x14ac:dyDescent="0.25">
      <c r="A82" s="14">
        <v>45007</v>
      </c>
      <c r="B82" s="2" t="s">
        <v>130</v>
      </c>
      <c r="C82" s="2" t="s">
        <v>121</v>
      </c>
      <c r="D82" s="2" t="s">
        <v>125</v>
      </c>
      <c r="E82" s="2">
        <v>17</v>
      </c>
      <c r="F82" s="2">
        <v>49088.81</v>
      </c>
      <c r="G82" s="2">
        <v>34.33</v>
      </c>
    </row>
    <row r="83" spans="1:7" x14ac:dyDescent="0.25">
      <c r="A83" s="14">
        <v>45008</v>
      </c>
      <c r="B83" s="2" t="s">
        <v>126</v>
      </c>
      <c r="C83" s="2" t="s">
        <v>129</v>
      </c>
      <c r="D83" s="2" t="s">
        <v>122</v>
      </c>
      <c r="E83" s="2">
        <v>47</v>
      </c>
      <c r="F83" s="2">
        <v>22082.22</v>
      </c>
      <c r="G83" s="2">
        <v>24.51</v>
      </c>
    </row>
    <row r="84" spans="1:7" x14ac:dyDescent="0.25">
      <c r="A84" s="14">
        <v>45009</v>
      </c>
      <c r="B84" s="2" t="s">
        <v>117</v>
      </c>
      <c r="C84" s="2" t="s">
        <v>129</v>
      </c>
      <c r="D84" s="2" t="s">
        <v>128</v>
      </c>
      <c r="E84" s="2">
        <v>9</v>
      </c>
      <c r="F84" s="2">
        <v>27965.18</v>
      </c>
      <c r="G84" s="2">
        <v>46.2</v>
      </c>
    </row>
    <row r="85" spans="1:7" x14ac:dyDescent="0.25">
      <c r="A85" s="14">
        <v>45010</v>
      </c>
      <c r="B85" s="2" t="s">
        <v>43</v>
      </c>
      <c r="C85" s="2" t="s">
        <v>118</v>
      </c>
      <c r="D85" s="2" t="s">
        <v>128</v>
      </c>
      <c r="E85" s="2">
        <v>45</v>
      </c>
      <c r="F85" s="2">
        <v>1113.44</v>
      </c>
      <c r="G85" s="2">
        <v>11.3</v>
      </c>
    </row>
    <row r="86" spans="1:7" x14ac:dyDescent="0.25">
      <c r="A86" s="14">
        <v>45011</v>
      </c>
      <c r="B86" s="2" t="s">
        <v>124</v>
      </c>
      <c r="C86" s="2" t="s">
        <v>123</v>
      </c>
      <c r="D86" s="2" t="s">
        <v>128</v>
      </c>
      <c r="E86" s="2">
        <v>37</v>
      </c>
      <c r="F86" s="2">
        <v>27897.73</v>
      </c>
      <c r="G86" s="2">
        <v>18.899999999999999</v>
      </c>
    </row>
    <row r="87" spans="1:7" x14ac:dyDescent="0.25">
      <c r="A87" s="14">
        <v>45012</v>
      </c>
      <c r="B87" s="2" t="s">
        <v>133</v>
      </c>
      <c r="C87" s="2" t="s">
        <v>123</v>
      </c>
      <c r="D87" s="2" t="s">
        <v>125</v>
      </c>
      <c r="E87" s="2">
        <v>20</v>
      </c>
      <c r="F87" s="2">
        <v>17427.310000000001</v>
      </c>
      <c r="G87" s="2">
        <v>21.02</v>
      </c>
    </row>
    <row r="88" spans="1:7" x14ac:dyDescent="0.25">
      <c r="A88" s="14">
        <v>45013</v>
      </c>
      <c r="B88" s="2" t="s">
        <v>131</v>
      </c>
      <c r="C88" s="2" t="s">
        <v>118</v>
      </c>
      <c r="D88" s="2" t="s">
        <v>119</v>
      </c>
      <c r="E88" s="2">
        <v>15</v>
      </c>
      <c r="F88" s="2">
        <v>2487.38</v>
      </c>
      <c r="G88" s="2">
        <v>25.96</v>
      </c>
    </row>
    <row r="89" spans="1:7" x14ac:dyDescent="0.25">
      <c r="A89" s="14">
        <v>45014</v>
      </c>
      <c r="B89" s="2" t="s">
        <v>126</v>
      </c>
      <c r="C89" s="2" t="s">
        <v>123</v>
      </c>
      <c r="D89" s="2" t="s">
        <v>125</v>
      </c>
      <c r="E89" s="2">
        <v>39</v>
      </c>
      <c r="F89" s="2">
        <v>23409.09</v>
      </c>
      <c r="G89" s="2">
        <v>39.909999999999997</v>
      </c>
    </row>
    <row r="90" spans="1:7" x14ac:dyDescent="0.25">
      <c r="A90" s="14">
        <v>45015</v>
      </c>
      <c r="B90" s="2" t="s">
        <v>43</v>
      </c>
      <c r="C90" s="2" t="s">
        <v>121</v>
      </c>
      <c r="D90" s="2" t="s">
        <v>128</v>
      </c>
      <c r="E90" s="2">
        <v>40</v>
      </c>
      <c r="F90" s="2">
        <v>44496</v>
      </c>
      <c r="G90" s="2">
        <v>46.8</v>
      </c>
    </row>
    <row r="91" spans="1:7" x14ac:dyDescent="0.25">
      <c r="A91" s="14">
        <v>45016</v>
      </c>
      <c r="B91" s="2" t="s">
        <v>132</v>
      </c>
      <c r="C91" s="2" t="s">
        <v>129</v>
      </c>
      <c r="D91" s="2" t="s">
        <v>119</v>
      </c>
      <c r="E91" s="2">
        <v>14</v>
      </c>
      <c r="F91" s="2">
        <v>16694.43</v>
      </c>
      <c r="G91" s="2">
        <v>17.010000000000002</v>
      </c>
    </row>
    <row r="92" spans="1:7" x14ac:dyDescent="0.25">
      <c r="A92" s="14">
        <v>45017</v>
      </c>
      <c r="B92" s="2" t="s">
        <v>43</v>
      </c>
      <c r="C92" s="2" t="s">
        <v>121</v>
      </c>
      <c r="D92" s="2" t="s">
        <v>119</v>
      </c>
      <c r="E92" s="2">
        <v>50</v>
      </c>
      <c r="F92" s="2">
        <v>28083.38</v>
      </c>
      <c r="G92" s="2">
        <v>21.08</v>
      </c>
    </row>
    <row r="93" spans="1:7" x14ac:dyDescent="0.25">
      <c r="A93" s="14">
        <v>45018</v>
      </c>
      <c r="B93" s="2" t="s">
        <v>131</v>
      </c>
      <c r="C93" s="2" t="s">
        <v>129</v>
      </c>
      <c r="D93" s="2" t="s">
        <v>119</v>
      </c>
      <c r="E93" s="2">
        <v>44</v>
      </c>
      <c r="F93" s="2">
        <v>20039.66</v>
      </c>
      <c r="G93" s="2">
        <v>22.48</v>
      </c>
    </row>
    <row r="94" spans="1:7" x14ac:dyDescent="0.25">
      <c r="A94" s="14">
        <v>45019</v>
      </c>
      <c r="B94" s="2" t="s">
        <v>130</v>
      </c>
      <c r="C94" s="2" t="s">
        <v>118</v>
      </c>
      <c r="D94" s="2" t="s">
        <v>119</v>
      </c>
      <c r="E94" s="2">
        <v>21</v>
      </c>
      <c r="F94" s="2">
        <v>23129.09</v>
      </c>
      <c r="G94" s="2">
        <v>10.49</v>
      </c>
    </row>
    <row r="95" spans="1:7" x14ac:dyDescent="0.25">
      <c r="A95" s="14">
        <v>45020</v>
      </c>
      <c r="B95" s="2" t="s">
        <v>133</v>
      </c>
      <c r="C95" s="2" t="s">
        <v>123</v>
      </c>
      <c r="D95" s="2" t="s">
        <v>122</v>
      </c>
      <c r="E95" s="2">
        <v>50</v>
      </c>
      <c r="F95" s="2">
        <v>10719.41</v>
      </c>
      <c r="G95" s="2">
        <v>38.74</v>
      </c>
    </row>
    <row r="96" spans="1:7" x14ac:dyDescent="0.25">
      <c r="A96" s="14">
        <v>45021</v>
      </c>
      <c r="B96" s="2" t="s">
        <v>120</v>
      </c>
      <c r="C96" s="2" t="s">
        <v>118</v>
      </c>
      <c r="D96" s="2" t="s">
        <v>125</v>
      </c>
      <c r="E96" s="2">
        <v>38</v>
      </c>
      <c r="F96" s="2">
        <v>18234.759999999998</v>
      </c>
      <c r="G96" s="2">
        <v>5.41</v>
      </c>
    </row>
    <row r="97" spans="1:7" x14ac:dyDescent="0.25">
      <c r="A97" s="14">
        <v>45022</v>
      </c>
      <c r="B97" s="2" t="s">
        <v>131</v>
      </c>
      <c r="C97" s="2" t="s">
        <v>129</v>
      </c>
      <c r="D97" s="2" t="s">
        <v>122</v>
      </c>
      <c r="E97" s="2">
        <v>22</v>
      </c>
      <c r="F97" s="2">
        <v>36221.279999999999</v>
      </c>
      <c r="G97" s="2">
        <v>29.51</v>
      </c>
    </row>
    <row r="98" spans="1:7" x14ac:dyDescent="0.25">
      <c r="A98" s="14">
        <v>45023</v>
      </c>
      <c r="B98" s="2" t="s">
        <v>127</v>
      </c>
      <c r="C98" s="2" t="s">
        <v>121</v>
      </c>
      <c r="D98" s="2" t="s">
        <v>122</v>
      </c>
      <c r="E98" s="2">
        <v>7</v>
      </c>
      <c r="F98" s="2">
        <v>49678.09</v>
      </c>
      <c r="G98" s="2">
        <v>49.67</v>
      </c>
    </row>
    <row r="99" spans="1:7" x14ac:dyDescent="0.25">
      <c r="A99" s="14">
        <v>45024</v>
      </c>
      <c r="B99" s="2" t="s">
        <v>43</v>
      </c>
      <c r="C99" s="2" t="s">
        <v>129</v>
      </c>
      <c r="D99" s="2" t="s">
        <v>119</v>
      </c>
      <c r="E99" s="2">
        <v>38</v>
      </c>
      <c r="F99" s="2">
        <v>8548.16</v>
      </c>
      <c r="G99" s="2">
        <v>45.48</v>
      </c>
    </row>
    <row r="100" spans="1:7" x14ac:dyDescent="0.25">
      <c r="A100" s="14">
        <v>45025</v>
      </c>
      <c r="B100" s="2" t="s">
        <v>126</v>
      </c>
      <c r="C100" s="2" t="s">
        <v>123</v>
      </c>
      <c r="D100" s="2" t="s">
        <v>119</v>
      </c>
      <c r="E100" s="2">
        <v>28</v>
      </c>
      <c r="F100" s="2">
        <v>5522.01</v>
      </c>
      <c r="G100" s="2">
        <v>40.700000000000003</v>
      </c>
    </row>
    <row r="101" spans="1:7" x14ac:dyDescent="0.25">
      <c r="A101" s="14">
        <v>45026</v>
      </c>
      <c r="B101" s="2" t="s">
        <v>126</v>
      </c>
      <c r="C101" s="2" t="s">
        <v>123</v>
      </c>
      <c r="D101" s="2" t="s">
        <v>119</v>
      </c>
      <c r="E101" s="2">
        <v>1</v>
      </c>
      <c r="F101" s="2">
        <v>18614.21</v>
      </c>
      <c r="G101" s="2">
        <v>34.65</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2:E16"/>
  <sheetViews>
    <sheetView workbookViewId="0">
      <selection activeCell="A2" sqref="A2:B2"/>
    </sheetView>
  </sheetViews>
  <sheetFormatPr defaultRowHeight="15" x14ac:dyDescent="0.25"/>
  <cols>
    <col min="4" max="4" width="13.140625" bestFit="1" customWidth="1"/>
    <col min="5" max="5" width="12.140625" bestFit="1" customWidth="1"/>
  </cols>
  <sheetData>
    <row r="2" spans="1:5" x14ac:dyDescent="0.25">
      <c r="A2" t="s">
        <v>148</v>
      </c>
      <c r="B2" t="s">
        <v>97</v>
      </c>
    </row>
    <row r="3" spans="1:5" x14ac:dyDescent="0.25">
      <c r="A3" s="20">
        <v>45292</v>
      </c>
      <c r="B3" s="21">
        <v>3500</v>
      </c>
      <c r="D3" s="15" t="s">
        <v>108</v>
      </c>
      <c r="E3" t="s">
        <v>110</v>
      </c>
    </row>
    <row r="4" spans="1:5" x14ac:dyDescent="0.25">
      <c r="A4" s="20">
        <v>45323</v>
      </c>
      <c r="B4" s="21">
        <v>4200</v>
      </c>
      <c r="D4" s="22">
        <v>45292</v>
      </c>
      <c r="E4" s="8">
        <v>3500</v>
      </c>
    </row>
    <row r="5" spans="1:5" x14ac:dyDescent="0.25">
      <c r="A5" s="20">
        <v>45352</v>
      </c>
      <c r="B5" s="21">
        <v>5000</v>
      </c>
      <c r="D5" s="22">
        <v>45323</v>
      </c>
      <c r="E5" s="8">
        <v>4200</v>
      </c>
    </row>
    <row r="6" spans="1:5" x14ac:dyDescent="0.25">
      <c r="A6" s="20">
        <v>45383</v>
      </c>
      <c r="B6" s="21">
        <v>4800</v>
      </c>
      <c r="D6" s="22">
        <v>45352</v>
      </c>
      <c r="E6" s="8">
        <v>5000</v>
      </c>
    </row>
    <row r="7" spans="1:5" x14ac:dyDescent="0.25">
      <c r="A7" s="20">
        <v>45413</v>
      </c>
      <c r="B7" s="21">
        <v>6200</v>
      </c>
      <c r="D7" s="22">
        <v>45383</v>
      </c>
      <c r="E7" s="8">
        <v>4800</v>
      </c>
    </row>
    <row r="8" spans="1:5" x14ac:dyDescent="0.25">
      <c r="A8" s="20">
        <v>45444</v>
      </c>
      <c r="B8" s="21">
        <v>7000</v>
      </c>
      <c r="D8" s="22">
        <v>45413</v>
      </c>
      <c r="E8" s="8">
        <v>6200</v>
      </c>
    </row>
    <row r="9" spans="1:5" x14ac:dyDescent="0.25">
      <c r="A9" s="20">
        <v>45474</v>
      </c>
      <c r="B9" s="21">
        <v>6500</v>
      </c>
      <c r="D9" s="22">
        <v>45444</v>
      </c>
      <c r="E9" s="8">
        <v>7000</v>
      </c>
    </row>
    <row r="10" spans="1:5" x14ac:dyDescent="0.25">
      <c r="A10" s="20">
        <v>45505</v>
      </c>
      <c r="B10" s="21">
        <v>5800</v>
      </c>
      <c r="D10" s="22">
        <v>45474</v>
      </c>
      <c r="E10" s="8">
        <v>6500</v>
      </c>
    </row>
    <row r="11" spans="1:5" x14ac:dyDescent="0.25">
      <c r="A11" s="20">
        <v>45536</v>
      </c>
      <c r="B11" s="21">
        <v>6000</v>
      </c>
      <c r="D11" s="22">
        <v>45505</v>
      </c>
      <c r="E11" s="8">
        <v>5800</v>
      </c>
    </row>
    <row r="12" spans="1:5" x14ac:dyDescent="0.25">
      <c r="A12" s="20">
        <v>45566</v>
      </c>
      <c r="B12" s="21">
        <v>6700</v>
      </c>
      <c r="D12" s="22">
        <v>45536</v>
      </c>
      <c r="E12" s="8">
        <v>6000</v>
      </c>
    </row>
    <row r="13" spans="1:5" x14ac:dyDescent="0.25">
      <c r="A13" s="20">
        <v>45597</v>
      </c>
      <c r="B13" s="21">
        <v>7500</v>
      </c>
      <c r="D13" s="22">
        <v>45566</v>
      </c>
      <c r="E13" s="8">
        <v>6700</v>
      </c>
    </row>
    <row r="14" spans="1:5" x14ac:dyDescent="0.25">
      <c r="A14" s="20">
        <v>45627</v>
      </c>
      <c r="B14" s="21">
        <v>8200</v>
      </c>
      <c r="D14" s="22">
        <v>45597</v>
      </c>
      <c r="E14" s="8">
        <v>7500</v>
      </c>
    </row>
    <row r="15" spans="1:5" x14ac:dyDescent="0.25">
      <c r="D15" s="22">
        <v>45627</v>
      </c>
      <c r="E15" s="8">
        <v>8200</v>
      </c>
    </row>
    <row r="16" spans="1:5" x14ac:dyDescent="0.25">
      <c r="D16" s="22" t="s">
        <v>109</v>
      </c>
      <c r="E16" s="8">
        <v>71400</v>
      </c>
    </row>
  </sheetData>
  <pageMargins left="0.7" right="0.7" top="0.75" bottom="0.75" header="0.3" footer="0.3"/>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20"/>
  <sheetViews>
    <sheetView workbookViewId="0">
      <selection activeCell="A21" sqref="A21"/>
    </sheetView>
  </sheetViews>
  <sheetFormatPr defaultRowHeight="15" x14ac:dyDescent="0.25"/>
  <cols>
    <col min="1" max="1" width="13.140625" customWidth="1"/>
    <col min="2" max="2" width="13.28515625" customWidth="1"/>
  </cols>
  <sheetData>
    <row r="1" spans="1:3" s="2" customFormat="1" x14ac:dyDescent="0.25">
      <c r="A1" s="2" t="s">
        <v>155</v>
      </c>
      <c r="B1" s="2" t="s">
        <v>156</v>
      </c>
      <c r="C1" s="2" t="s">
        <v>149</v>
      </c>
    </row>
    <row r="2" spans="1:3" s="2" customFormat="1" ht="15.75" x14ac:dyDescent="0.25">
      <c r="A2" s="24" t="s">
        <v>155</v>
      </c>
      <c r="B2" s="24" t="s">
        <v>156</v>
      </c>
      <c r="C2" s="24" t="s">
        <v>149</v>
      </c>
    </row>
    <row r="3" spans="1:3" s="2" customFormat="1" x14ac:dyDescent="0.25">
      <c r="A3" s="2" t="s">
        <v>151</v>
      </c>
      <c r="B3" s="2" t="s">
        <v>152</v>
      </c>
      <c r="C3" s="2">
        <v>27</v>
      </c>
    </row>
    <row r="4" spans="1:3" x14ac:dyDescent="0.25">
      <c r="A4" t="s">
        <v>150</v>
      </c>
      <c r="B4" t="s">
        <v>70</v>
      </c>
      <c r="C4">
        <v>25</v>
      </c>
    </row>
    <row r="5" spans="1:3" x14ac:dyDescent="0.25">
      <c r="A5" t="s">
        <v>151</v>
      </c>
      <c r="B5" t="s">
        <v>161</v>
      </c>
      <c r="C5">
        <v>29</v>
      </c>
    </row>
    <row r="6" spans="1:3" x14ac:dyDescent="0.25">
      <c r="A6" t="s">
        <v>150</v>
      </c>
      <c r="B6" t="s">
        <v>153</v>
      </c>
      <c r="C6">
        <v>18</v>
      </c>
    </row>
    <row r="7" spans="1:3" x14ac:dyDescent="0.25">
      <c r="A7" t="s">
        <v>150</v>
      </c>
      <c r="B7" t="s">
        <v>162</v>
      </c>
      <c r="C7">
        <v>50</v>
      </c>
    </row>
    <row r="8" spans="1:3" x14ac:dyDescent="0.25">
      <c r="A8" t="s">
        <v>150</v>
      </c>
      <c r="B8" t="s">
        <v>161</v>
      </c>
      <c r="C8">
        <v>25</v>
      </c>
    </row>
    <row r="14" spans="1:3" x14ac:dyDescent="0.25">
      <c r="A14" t="s">
        <v>163</v>
      </c>
    </row>
    <row r="18" spans="1:1" x14ac:dyDescent="0.25">
      <c r="A18" t="s">
        <v>164</v>
      </c>
    </row>
    <row r="20" spans="1:1" x14ac:dyDescent="0.25">
      <c r="A20" t="s">
        <v>166</v>
      </c>
    </row>
  </sheetData>
  <conditionalFormatting sqref="C4:C8">
    <cfRule type="cellIs" dxfId="7" priority="3" operator="greaterThan">
      <formula>25</formula>
    </cfRule>
  </conditionalFormatting>
  <conditionalFormatting sqref="C3:C8">
    <cfRule type="cellIs" dxfId="6" priority="1" operator="greaterThan">
      <formula>25</formula>
    </cfRule>
    <cfRule type="cellIs" dxfId="5" priority="2" operator="greaterThan">
      <formula>25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4" r:id="rId3" name="Button 4">
              <controlPr defaultSize="0" print="0" autoFill="0" autoPict="0" macro="[0]!welcome">
                <anchor moveWithCells="1">
                  <from>
                    <xdr:col>0</xdr:col>
                    <xdr:colOff>666750</xdr:colOff>
                    <xdr:row>14</xdr:row>
                    <xdr:rowOff>180975</xdr:rowOff>
                  </from>
                  <to>
                    <xdr:col>1</xdr:col>
                    <xdr:colOff>333375</xdr:colOff>
                    <xdr:row>16</xdr:row>
                    <xdr:rowOff>38100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0"/>
  <sheetViews>
    <sheetView workbookViewId="0">
      <selection activeCell="B20" sqref="B20"/>
    </sheetView>
  </sheetViews>
  <sheetFormatPr defaultRowHeight="15" x14ac:dyDescent="0.25"/>
  <cols>
    <col min="1" max="1" width="13.140625" customWidth="1"/>
    <col min="2" max="2" width="13.28515625" customWidth="1"/>
  </cols>
  <sheetData>
    <row r="1" spans="1:3" ht="15.75" x14ac:dyDescent="0.25">
      <c r="A1" s="24" t="s">
        <v>155</v>
      </c>
      <c r="B1" s="24" t="s">
        <v>156</v>
      </c>
      <c r="C1" s="24" t="s">
        <v>149</v>
      </c>
    </row>
    <row r="2" spans="1:3" x14ac:dyDescent="0.25">
      <c r="A2" t="s">
        <v>150</v>
      </c>
      <c r="B2" t="s">
        <v>157</v>
      </c>
      <c r="C2">
        <v>25</v>
      </c>
    </row>
    <row r="3" spans="1:3" x14ac:dyDescent="0.25">
      <c r="A3" t="s">
        <v>151</v>
      </c>
      <c r="B3" t="s">
        <v>152</v>
      </c>
      <c r="C3">
        <v>27</v>
      </c>
    </row>
    <row r="4" spans="1:3" x14ac:dyDescent="0.25">
      <c r="A4" t="s">
        <v>150</v>
      </c>
      <c r="B4" t="s">
        <v>153</v>
      </c>
      <c r="C4">
        <v>18</v>
      </c>
    </row>
    <row r="5" spans="1:3" x14ac:dyDescent="0.25">
      <c r="A5" t="s">
        <v>158</v>
      </c>
      <c r="B5" t="s">
        <v>159</v>
      </c>
      <c r="C5">
        <v>25</v>
      </c>
    </row>
    <row r="6" spans="1:3" x14ac:dyDescent="0.25">
      <c r="A6" t="s">
        <v>150</v>
      </c>
      <c r="B6" t="s">
        <v>160</v>
      </c>
      <c r="C6">
        <v>50</v>
      </c>
    </row>
    <row r="7" spans="1:3" x14ac:dyDescent="0.25">
      <c r="A7" t="s">
        <v>150</v>
      </c>
      <c r="B7" t="s">
        <v>154</v>
      </c>
      <c r="C7">
        <v>50</v>
      </c>
    </row>
    <row r="20" spans="1:1" x14ac:dyDescent="0.25">
      <c r="A20" t="s">
        <v>165</v>
      </c>
    </row>
  </sheetData>
  <conditionalFormatting sqref="C2:C7">
    <cfRule type="cellIs" dxfId="4" priority="2" operator="greaterThan">
      <formula>25</formula>
    </cfRule>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30"/>
  <sheetViews>
    <sheetView workbookViewId="0">
      <selection activeCell="A2" sqref="A2"/>
    </sheetView>
  </sheetViews>
  <sheetFormatPr defaultRowHeight="15" x14ac:dyDescent="0.25"/>
  <cols>
    <col min="1" max="1" width="13.140625" customWidth="1"/>
    <col min="2" max="2" width="13.28515625" customWidth="1"/>
  </cols>
  <sheetData>
    <row r="1" spans="1:3" s="2" customFormat="1" ht="15.75" x14ac:dyDescent="0.25">
      <c r="A1" s="24" t="s">
        <v>155</v>
      </c>
      <c r="B1" s="24" t="s">
        <v>156</v>
      </c>
      <c r="C1" s="24" t="s">
        <v>149</v>
      </c>
    </row>
    <row r="2" spans="1:3" s="2" customFormat="1" x14ac:dyDescent="0.25">
      <c r="A2" s="2" t="s">
        <v>118</v>
      </c>
      <c r="B2" s="2" t="s">
        <v>119</v>
      </c>
      <c r="C2" s="2">
        <v>13</v>
      </c>
    </row>
    <row r="3" spans="1:3" s="2" customFormat="1" x14ac:dyDescent="0.25">
      <c r="A3" s="2" t="s">
        <v>121</v>
      </c>
      <c r="B3" s="2" t="s">
        <v>122</v>
      </c>
      <c r="C3" s="2">
        <v>31</v>
      </c>
    </row>
    <row r="4" spans="1:3" s="2" customFormat="1" x14ac:dyDescent="0.25">
      <c r="A4" s="2" t="s">
        <v>123</v>
      </c>
      <c r="B4" s="2" t="s">
        <v>119</v>
      </c>
      <c r="C4" s="2">
        <v>13</v>
      </c>
    </row>
    <row r="5" spans="1:3" x14ac:dyDescent="0.25">
      <c r="A5" s="2" t="s">
        <v>123</v>
      </c>
      <c r="B5" s="2" t="s">
        <v>122</v>
      </c>
      <c r="C5" s="2">
        <v>9</v>
      </c>
    </row>
    <row r="6" spans="1:3" x14ac:dyDescent="0.25">
      <c r="A6" s="2" t="s">
        <v>121</v>
      </c>
      <c r="B6" s="2" t="s">
        <v>125</v>
      </c>
      <c r="C6" s="2">
        <v>25</v>
      </c>
    </row>
    <row r="7" spans="1:3" x14ac:dyDescent="0.25">
      <c r="A7" s="2" t="s">
        <v>121</v>
      </c>
      <c r="B7" s="2" t="s">
        <v>125</v>
      </c>
      <c r="C7" s="2">
        <v>48</v>
      </c>
    </row>
    <row r="8" spans="1:3" x14ac:dyDescent="0.25">
      <c r="A8" s="2" t="s">
        <v>121</v>
      </c>
      <c r="B8" s="2" t="s">
        <v>125</v>
      </c>
      <c r="C8" s="2">
        <v>42</v>
      </c>
    </row>
    <row r="9" spans="1:3" x14ac:dyDescent="0.25">
      <c r="A9" s="2" t="s">
        <v>123</v>
      </c>
      <c r="B9" s="2" t="s">
        <v>125</v>
      </c>
      <c r="C9" s="2">
        <v>38</v>
      </c>
    </row>
    <row r="10" spans="1:3" x14ac:dyDescent="0.25">
      <c r="A10" s="2" t="s">
        <v>118</v>
      </c>
      <c r="B10" s="2" t="s">
        <v>125</v>
      </c>
      <c r="C10" s="2">
        <v>37</v>
      </c>
    </row>
    <row r="11" spans="1:3" x14ac:dyDescent="0.25">
      <c r="A11" s="2" t="s">
        <v>123</v>
      </c>
      <c r="B11" s="2" t="s">
        <v>128</v>
      </c>
      <c r="C11" s="2">
        <v>22</v>
      </c>
    </row>
    <row r="12" spans="1:3" x14ac:dyDescent="0.25">
      <c r="A12" s="2" t="s">
        <v>129</v>
      </c>
      <c r="B12" s="2" t="s">
        <v>122</v>
      </c>
      <c r="C12" s="2">
        <v>2</v>
      </c>
    </row>
    <row r="13" spans="1:3" x14ac:dyDescent="0.25">
      <c r="A13" s="2" t="s">
        <v>121</v>
      </c>
      <c r="B13" s="2" t="s">
        <v>128</v>
      </c>
      <c r="C13" s="2">
        <v>10</v>
      </c>
    </row>
    <row r="14" spans="1:3" x14ac:dyDescent="0.25">
      <c r="A14" s="2" t="s">
        <v>129</v>
      </c>
      <c r="B14" s="2" t="s">
        <v>125</v>
      </c>
      <c r="C14" s="2">
        <v>7</v>
      </c>
    </row>
    <row r="15" spans="1:3" x14ac:dyDescent="0.25">
      <c r="A15" s="2" t="s">
        <v>118</v>
      </c>
      <c r="B15" s="2" t="s">
        <v>125</v>
      </c>
      <c r="C15" s="2">
        <v>2</v>
      </c>
    </row>
    <row r="16" spans="1:3" x14ac:dyDescent="0.25">
      <c r="A16" s="2"/>
      <c r="B16" s="2"/>
      <c r="C16" s="2"/>
    </row>
    <row r="17" spans="1:7" x14ac:dyDescent="0.25">
      <c r="A17" s="2"/>
      <c r="B17" s="2"/>
      <c r="C17" s="2"/>
      <c r="E17" s="2"/>
      <c r="F17" s="2"/>
      <c r="G17" s="2"/>
    </row>
    <row r="18" spans="1:7" x14ac:dyDescent="0.25">
      <c r="E18" s="2"/>
      <c r="F18" s="2"/>
      <c r="G18" s="2"/>
    </row>
    <row r="19" spans="1:7" x14ac:dyDescent="0.25">
      <c r="E19" s="2"/>
      <c r="F19" s="2"/>
      <c r="G19" s="2"/>
    </row>
    <row r="20" spans="1:7" x14ac:dyDescent="0.25">
      <c r="E20" s="2"/>
      <c r="F20" s="2"/>
      <c r="G20" s="2"/>
    </row>
    <row r="21" spans="1:7" x14ac:dyDescent="0.25">
      <c r="E21" s="2"/>
      <c r="F21" s="2"/>
      <c r="G21" s="2"/>
    </row>
    <row r="22" spans="1:7" x14ac:dyDescent="0.25">
      <c r="E22" s="2"/>
      <c r="F22" s="2"/>
      <c r="G22" s="2"/>
    </row>
    <row r="23" spans="1:7" x14ac:dyDescent="0.25">
      <c r="E23" s="2"/>
      <c r="F23" s="2"/>
      <c r="G23" s="2"/>
    </row>
    <row r="24" spans="1:7" x14ac:dyDescent="0.25">
      <c r="E24" s="2"/>
      <c r="F24" s="2"/>
      <c r="G24" s="2"/>
    </row>
    <row r="25" spans="1:7" x14ac:dyDescent="0.25">
      <c r="E25" s="2"/>
      <c r="F25" s="2"/>
      <c r="G25" s="2"/>
    </row>
    <row r="26" spans="1:7" x14ac:dyDescent="0.25">
      <c r="E26" s="2"/>
      <c r="F26" s="2"/>
      <c r="G26" s="2"/>
    </row>
    <row r="27" spans="1:7" x14ac:dyDescent="0.25">
      <c r="E27" s="2"/>
      <c r="F27" s="2"/>
      <c r="G27" s="2"/>
    </row>
    <row r="28" spans="1:7" x14ac:dyDescent="0.25">
      <c r="E28" s="2"/>
      <c r="F28" s="2"/>
      <c r="G28" s="2"/>
    </row>
    <row r="29" spans="1:7" x14ac:dyDescent="0.25">
      <c r="E29" s="2"/>
      <c r="F29" s="2"/>
      <c r="G29" s="2"/>
    </row>
    <row r="30" spans="1:7" x14ac:dyDescent="0.25">
      <c r="E30" s="2"/>
      <c r="F30" s="2"/>
      <c r="G30" s="2"/>
    </row>
  </sheetData>
  <conditionalFormatting sqref="C4:C9">
    <cfRule type="cellIs" dxfId="3" priority="4" operator="greaterThan">
      <formula>25</formula>
    </cfRule>
  </conditionalFormatting>
  <conditionalFormatting sqref="C3:C8">
    <cfRule type="cellIs" dxfId="2" priority="2" operator="greaterThan">
      <formula>25</formula>
    </cfRule>
    <cfRule type="cellIs" dxfId="1" priority="3" operator="greaterThan">
      <formula>25</formula>
    </cfRule>
  </conditionalFormatting>
  <conditionalFormatting sqref="C2:C7">
    <cfRule type="cellIs" dxfId="0" priority="1" operator="greaterThan">
      <formula>25</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1">
                <anchor moveWithCells="1">
                  <from>
                    <xdr:col>4</xdr:col>
                    <xdr:colOff>180975</xdr:colOff>
                    <xdr:row>5</xdr:row>
                    <xdr:rowOff>57150</xdr:rowOff>
                  </from>
                  <to>
                    <xdr:col>5</xdr:col>
                    <xdr:colOff>247650</xdr:colOff>
                    <xdr:row>6</xdr:row>
                    <xdr:rowOff>104775</xdr:rowOff>
                  </to>
                </anchor>
              </controlPr>
            </control>
          </mc:Choice>
        </mc:AlternateContent>
        <mc:AlternateContent xmlns:mc="http://schemas.openxmlformats.org/markup-compatibility/2006">
          <mc:Choice Requires="x14">
            <control shapeId="19458" r:id="rId5" name="Button 2">
              <controlPr defaultSize="0" print="0" autoFill="0" autoPict="0" macro="[0]!Macro1">
                <anchor moveWithCells="1">
                  <from>
                    <xdr:col>4</xdr:col>
                    <xdr:colOff>333375</xdr:colOff>
                    <xdr:row>8</xdr:row>
                    <xdr:rowOff>95250</xdr:rowOff>
                  </from>
                  <to>
                    <xdr:col>5</xdr:col>
                    <xdr:colOff>266700</xdr:colOff>
                    <xdr:row>9</xdr:row>
                    <xdr:rowOff>142875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
  <sheetViews>
    <sheetView tabSelected="1"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Sheet1</vt:lpstr>
      <vt:lpstr>Sheet2</vt:lpstr>
      <vt:lpstr>vlookup</vt:lpstr>
      <vt:lpstr>index+match</vt:lpstr>
      <vt:lpstr>data validation</vt:lpstr>
      <vt:lpstr>Sheet4</vt:lpstr>
      <vt:lpstr>conditional formatting</vt:lpstr>
      <vt:lpstr>Sheet6</vt:lpstr>
      <vt:lpstr>pivort</vt:lpstr>
      <vt:lpstr>Sheet5</vt:lpstr>
      <vt:lpstr>Sheet8</vt:lpstr>
      <vt:lpstr>Sheet10</vt:lpstr>
      <vt:lpstr>Sheet7</vt:lpstr>
      <vt:lpstr>Sheet11</vt:lpstr>
      <vt:lpstr>Sheet3</vt:lpstr>
      <vt:lpstr>Sheet9</vt:lpstr>
      <vt:lpstr>macro</vt:lpstr>
      <vt:lpstr>Sheet12</vt:lpstr>
      <vt:lpstr>Sheet13</vt:lpstr>
      <vt:lpstr>Sheet14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Lenovo</dc:creator>
  <cp:lastModifiedBy>Lenovo</cp:lastModifiedBy>
  <dcterms:created xsi:type="dcterms:W3CDTF">2025-04-05T03:10:01Z</dcterms:created>
  <dcterms:modified xsi:type="dcterms:W3CDTF">2025-05-06T02:57:32Z</dcterms:modified>
</cp:coreProperties>
</file>